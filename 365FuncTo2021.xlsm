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\Excel2021-LTSC-with-365-functions\"/>
    </mc:Choice>
  </mc:AlternateContent>
  <xr:revisionPtr revIDLastSave="0" documentId="13_ncr:1_{5312B4BA-9CA4-432F-A318-14227408A15B}" xr6:coauthVersionLast="47" xr6:coauthVersionMax="47" xr10:uidLastSave="{00000000-0000-0000-0000-000000000000}"/>
  <bookViews>
    <workbookView xWindow="2310" yWindow="690" windowWidth="26460" windowHeight="13425" tabRatio="759" activeTab="1" xr2:uid="{00000000-000D-0000-FFFF-FFFF00000000}"/>
  </bookViews>
  <sheets>
    <sheet name="TEXTSPLIT,TEXTBEFORE,TEXTAFTER" sheetId="22" r:id="rId1"/>
    <sheet name="TOCOL,TOROW,VSTACK,HSTACK" sheetId="2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4" i="24" l="1"/>
  <c r="A55" i="24"/>
  <c r="A56" i="24"/>
  <c r="A57" i="24"/>
  <c r="D53" i="24" a="1"/>
  <c r="D47" i="24" a="1"/>
  <c r="A48" i="24" l="1"/>
  <c r="A49" i="24"/>
  <c r="A50" i="24"/>
  <c r="D53" i="24"/>
  <c r="A53" i="24" s="1"/>
  <c r="D47" i="24"/>
  <c r="A47" i="24" s="1"/>
  <c r="A25" i="24"/>
  <c r="E8" i="24"/>
  <c r="A56" i="22"/>
  <c r="A55" i="22"/>
  <c r="A54" i="22"/>
  <c r="A53" i="22"/>
  <c r="J27" i="22"/>
  <c r="A26" i="22"/>
  <c r="A25" i="22"/>
  <c r="A24" i="22"/>
  <c r="L10" i="22"/>
  <c r="D51" i="24" a="1"/>
  <c r="D16" i="24" a="1"/>
  <c r="D44" i="24" a="1"/>
  <c r="D12" i="24" a="1"/>
  <c r="D24" i="24" a="1"/>
  <c r="D10" i="22" a="1"/>
  <c r="D9" i="22" a="1"/>
  <c r="C53" i="24"/>
  <c r="C51" i="24"/>
  <c r="C44" i="24"/>
  <c r="C47" i="24"/>
  <c r="A46" i="24" l="1"/>
  <c r="A45" i="24"/>
  <c r="A52" i="24"/>
  <c r="D51" i="24"/>
  <c r="A51" i="24" s="1"/>
  <c r="D44" i="24"/>
  <c r="A44" i="24" s="1"/>
  <c r="D10" i="22"/>
  <c r="D9" i="22"/>
  <c r="D16" i="24"/>
  <c r="D24" i="24"/>
  <c r="D12" i="24"/>
  <c r="A17" i="24"/>
  <c r="A18" i="24"/>
  <c r="D13" i="24" a="1"/>
  <c r="C16" i="24"/>
  <c r="A15" i="24" l="1"/>
  <c r="D42" i="22" a="1"/>
  <c r="D33" i="24" a="1"/>
  <c r="D38" i="22" a="1"/>
  <c r="D15" i="22" a="1"/>
  <c r="D19" i="24" a="1"/>
  <c r="D11" i="22" a="1"/>
  <c r="D26" i="24" a="1"/>
  <c r="D43" i="22" a="1"/>
  <c r="D48" i="22" a="1"/>
  <c r="D47" i="22" a="1"/>
  <c r="D30" i="22" a="1"/>
  <c r="D20" i="24" a="1"/>
  <c r="D21" i="24" a="1"/>
  <c r="D41" i="22" a="1"/>
  <c r="D51" i="22" a="1"/>
  <c r="D50" i="22" a="1"/>
  <c r="D29" i="22" a="1"/>
  <c r="D30" i="24" a="1"/>
  <c r="D21" i="22" a="1"/>
  <c r="D39" i="22" a="1"/>
  <c r="D31" i="22" a="1"/>
  <c r="D52" i="22" a="1"/>
  <c r="D34" i="22" a="1"/>
  <c r="D37" i="24" a="1"/>
  <c r="D36" i="22" a="1"/>
  <c r="D32" i="22" a="1"/>
  <c r="D40" i="24" a="1"/>
  <c r="D35" i="22" a="1"/>
  <c r="D37" i="22" a="1"/>
  <c r="D46" i="22" a="1"/>
  <c r="D23" i="24" a="1"/>
  <c r="D28" i="22" a="1"/>
  <c r="D40" i="22" a="1"/>
  <c r="D18" i="22" a="1"/>
  <c r="D16" i="22" a="1"/>
  <c r="D49" i="22" a="1"/>
  <c r="D27" i="24" a="1"/>
  <c r="D33" i="22" a="1"/>
  <c r="D44" i="22" a="1"/>
  <c r="D45" i="22" a="1"/>
  <c r="D22" i="24" a="1"/>
  <c r="D27" i="22" a="1"/>
  <c r="C50" i="22"/>
  <c r="C47" i="22"/>
  <c r="C23" i="24"/>
  <c r="C40" i="24"/>
  <c r="C35" i="22"/>
  <c r="C43" i="22"/>
  <c r="C34" i="22"/>
  <c r="C27" i="24"/>
  <c r="C12" i="24"/>
  <c r="C39" i="22"/>
  <c r="C42" i="22"/>
  <c r="C28" i="22"/>
  <c r="C31" i="22"/>
  <c r="C48" i="22"/>
  <c r="C40" i="22"/>
  <c r="C36" i="22"/>
  <c r="C26" i="24"/>
  <c r="C15" i="22"/>
  <c r="C30" i="22"/>
  <c r="C41" i="22"/>
  <c r="C27" i="22"/>
  <c r="C44" i="22"/>
  <c r="C16" i="22"/>
  <c r="C21" i="22"/>
  <c r="C29" i="22"/>
  <c r="C19" i="24"/>
  <c r="C46" i="22"/>
  <c r="C22" i="24"/>
  <c r="C51" i="22"/>
  <c r="C13" i="24"/>
  <c r="C33" i="24"/>
  <c r="C21" i="24"/>
  <c r="C32" i="22"/>
  <c r="C24" i="24"/>
  <c r="C38" i="22"/>
  <c r="C20" i="24"/>
  <c r="C10" i="22"/>
  <c r="C49" i="22"/>
  <c r="C45" i="22"/>
  <c r="C52" i="22"/>
  <c r="C11" i="22"/>
  <c r="C18" i="22"/>
  <c r="C9" i="22"/>
  <c r="C30" i="24"/>
  <c r="C37" i="24"/>
  <c r="C37" i="22"/>
  <c r="C33" i="22"/>
  <c r="A43" i="24" l="1"/>
  <c r="A42" i="24"/>
  <c r="A16" i="24"/>
  <c r="D13" i="24"/>
  <c r="A13" i="24" s="1"/>
  <c r="A12" i="24"/>
  <c r="A41" i="24"/>
  <c r="D40" i="24"/>
  <c r="A40" i="24" s="1"/>
  <c r="A38" i="24"/>
  <c r="A39" i="24"/>
  <c r="A14" i="24"/>
  <c r="A24" i="24"/>
  <c r="D37" i="24"/>
  <c r="A37" i="24" s="1"/>
  <c r="D33" i="24"/>
  <c r="A29" i="24"/>
  <c r="A28" i="24"/>
  <c r="A31" i="24"/>
  <c r="A32" i="24"/>
  <c r="A36" i="24"/>
  <c r="A34" i="24"/>
  <c r="A35" i="24"/>
  <c r="A33" i="24"/>
  <c r="D23" i="24"/>
  <c r="A23" i="24" s="1"/>
  <c r="D22" i="24"/>
  <c r="A22" i="24" s="1"/>
  <c r="D30" i="24"/>
  <c r="A30" i="24" s="1"/>
  <c r="D27" i="24"/>
  <c r="A27" i="24" s="1"/>
  <c r="D26" i="24"/>
  <c r="A26" i="24" s="1"/>
  <c r="D21" i="24"/>
  <c r="A21" i="24" s="1"/>
  <c r="D20" i="24"/>
  <c r="A20" i="24" s="1"/>
  <c r="D19" i="24"/>
  <c r="A19" i="24" s="1"/>
  <c r="A13" i="22"/>
  <c r="A12" i="22"/>
  <c r="A14" i="22"/>
  <c r="A22" i="22"/>
  <c r="A23" i="22"/>
  <c r="A17" i="22"/>
  <c r="A20" i="22"/>
  <c r="A19" i="22"/>
  <c r="D15" i="22"/>
  <c r="A15" i="22" s="1"/>
  <c r="D28" i="22"/>
  <c r="A28" i="22" s="1"/>
  <c r="D36" i="22"/>
  <c r="A36" i="22" s="1"/>
  <c r="D31" i="22"/>
  <c r="A31" i="22" s="1"/>
  <c r="D35" i="22"/>
  <c r="A35" i="22" s="1"/>
  <c r="D39" i="22"/>
  <c r="A39" i="22" s="1"/>
  <c r="D43" i="22"/>
  <c r="A43" i="22" s="1"/>
  <c r="D47" i="22"/>
  <c r="A47" i="22" s="1"/>
  <c r="D51" i="22"/>
  <c r="A51" i="22" s="1"/>
  <c r="D27" i="22"/>
  <c r="A27" i="22" s="1"/>
  <c r="D40" i="22"/>
  <c r="A40" i="22" s="1"/>
  <c r="D52" i="22"/>
  <c r="A52" i="22" s="1"/>
  <c r="A10" i="22"/>
  <c r="D11" i="22"/>
  <c r="A11" i="22" s="1"/>
  <c r="D30" i="22"/>
  <c r="A30" i="22" s="1"/>
  <c r="D34" i="22"/>
  <c r="A34" i="22" s="1"/>
  <c r="D38" i="22"/>
  <c r="A38" i="22" s="1"/>
  <c r="D42" i="22"/>
  <c r="A42" i="22" s="1"/>
  <c r="D46" i="22"/>
  <c r="A46" i="22" s="1"/>
  <c r="D50" i="22"/>
  <c r="A50" i="22" s="1"/>
  <c r="D21" i="22"/>
  <c r="A21" i="22" s="1"/>
  <c r="D32" i="22"/>
  <c r="A32" i="22" s="1"/>
  <c r="D44" i="22"/>
  <c r="A44" i="22" s="1"/>
  <c r="D48" i="22"/>
  <c r="A48" i="22" s="1"/>
  <c r="A9" i="22"/>
  <c r="D16" i="22"/>
  <c r="A16" i="22" s="1"/>
  <c r="D18" i="22"/>
  <c r="A18" i="22" s="1"/>
  <c r="D29" i="22"/>
  <c r="A29" i="22" s="1"/>
  <c r="D33" i="22"/>
  <c r="A33" i="22" s="1"/>
  <c r="D37" i="22"/>
  <c r="A37" i="22" s="1"/>
  <c r="D41" i="22"/>
  <c r="A41" i="22" s="1"/>
  <c r="D45" i="22"/>
  <c r="A45" i="22" s="1"/>
  <c r="D49" i="22"/>
  <c r="A49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D66D85-79E5-4E09-A4DD-5DAF851E12F0}" name="Divesites" type="4" refreshedVersion="0" background="1">
    <webPr xml="1" sourceData="1" url="D:\Dropbox\Projects\Subsurface\Divesites.xml" htmlTables="1" htmlFormat="all"/>
  </connection>
  <connection id="2" xr16:uid="{097DDE1B-3CD7-453F-B3C0-5123415B7FC6}" name="Divesites1" type="4" refreshedVersion="0" background="1">
    <webPr xml="1" sourceData="1" url="D:\Dropbox\Projects\Subsurface\Divesites.xml" htmlTables="1" htmlFormat="all"/>
  </connection>
  <connection id="3" xr16:uid="{F63CF02F-EC9F-4DC8-8BAF-B9D61D81363D}" keepAlive="1" name="Query - Divelogs" description="Connection to the 'Divelogs' query in the workbook." type="5" refreshedVersion="7" background="1" saveData="1">
    <dbPr connection="Provider=Microsoft.Mashup.OleDb.1;Data Source=$Workbook$;Location=Divelogs;Extended Properties=&quot;&quot;" command="SELECT * FROM [Divelogs]"/>
  </connection>
  <connection id="4" xr16:uid="{450BCE18-53C4-492A-AAA8-0A5B41A3FD93}" keepAlive="1" name="Query - Divesites_sorted" description="Connection to the 'Divesites_sorted' query in the workbook." type="5" refreshedVersion="7" background="1" saveData="1">
    <dbPr connection="Provider=Microsoft.Mashup.OleDb.1;Data Source=$Workbook$;Location=Divesites_sorted;Extended Properties=&quot;&quot;" command="SELECT * FROM [Divesites_sor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<sst xmlns="http://schemas.openxmlformats.org/spreadsheetml/2006/main" count="195" uniqueCount="88">
  <si>
    <t>Data</t>
  </si>
  <si>
    <t>Formulas</t>
  </si>
  <si>
    <t>1, 2, 3 X 4, 5, 6</t>
  </si>
  <si>
    <t>col_delimiter</t>
  </si>
  <si>
    <t>Test</t>
  </si>
  <si>
    <t>match_mode
case-sensitive</t>
  </si>
  <si>
    <t>match_mode
case-insensitive</t>
  </si>
  <si>
    <t>row_delimiter</t>
  </si>
  <si>
    <t>pad_with</t>
  </si>
  <si>
    <t>not found</t>
  </si>
  <si>
    <t>Dakota Lennon  Sanchez</t>
  </si>
  <si>
    <t>1,,3;;7,8,9</t>
  </si>
  <si>
    <t>Output</t>
  </si>
  <si>
    <t>instance_num
(positive)</t>
  </si>
  <si>
    <t>match_end
(positive last)</t>
  </si>
  <si>
    <t>match_end
(negative last)</t>
  </si>
  <si>
    <t>instance_num
(negative)</t>
  </si>
  <si>
    <t>match_end &amp;
not found</t>
  </si>
  <si>
    <t>Expected</t>
  </si>
  <si>
    <t>Dakota</t>
  </si>
  <si>
    <t>Lennon</t>
  </si>
  <si>
    <t>Sanchez</t>
  </si>
  <si>
    <t>1</t>
  </si>
  <si>
    <t>2</t>
  </si>
  <si>
    <t>3</t>
  </si>
  <si>
    <t>4</t>
  </si>
  <si>
    <t>5</t>
  </si>
  <si>
    <t>6</t>
  </si>
  <si>
    <t>3 X 4</t>
  </si>
  <si>
    <t>Description</t>
  </si>
  <si>
    <t>Notes</t>
  </si>
  <si>
    <t>Score</t>
  </si>
  <si>
    <t>Result</t>
  </si>
  <si>
    <t>-</t>
  </si>
  <si>
    <t>Name=Aiden</t>
  </si>
  <si>
    <t>--</t>
  </si>
  <si>
    <t>Excellent</t>
  </si>
  <si>
    <t>Aiden</t>
  </si>
  <si>
    <t>Name</t>
  </si>
  <si>
    <t>7</t>
  </si>
  <si>
    <t>8</t>
  </si>
  <si>
    <t>9</t>
  </si>
  <si>
    <t>ignore_empty</t>
  </si>
  <si>
    <t>ToDo: implement</t>
  </si>
  <si>
    <t>before 3rd:
entire text</t>
  </si>
  <si>
    <t>Result=Excellent</t>
  </si>
  <si>
    <t>empty delimiter
(from the end)</t>
  </si>
  <si>
    <t>empty delimiter
(from the front)</t>
  </si>
  <si>
    <t>Name=Aiden,Score,Result=Excellent</t>
  </si>
  <si>
    <t>Name=Aiden,Score</t>
  </si>
  <si>
    <t>before begin</t>
  </si>
  <si>
    <t>after begin</t>
  </si>
  <si>
    <t>Score,Result=Excellent</t>
  </si>
  <si>
    <t/>
  </si>
  <si>
    <t>case-insensitive</t>
  </si>
  <si>
    <t>case-sensitive</t>
  </si>
  <si>
    <t xml:space="preserve">1, 2, 3 </t>
  </si>
  <si>
    <t>single cell</t>
  </si>
  <si>
    <t>row &gt; row</t>
  </si>
  <si>
    <t>col -&gt; row</t>
  </si>
  <si>
    <t>a3</t>
  </si>
  <si>
    <t>b3</t>
  </si>
  <si>
    <t>c3</t>
  </si>
  <si>
    <t>a4</t>
  </si>
  <si>
    <t>c4</t>
  </si>
  <si>
    <t>a5</t>
  </si>
  <si>
    <t>b5</t>
  </si>
  <si>
    <t>c5</t>
  </si>
  <si>
    <t>a6</t>
  </si>
  <si>
    <t>b6</t>
  </si>
  <si>
    <t>c6</t>
  </si>
  <si>
    <t>d3</t>
  </si>
  <si>
    <t>d4</t>
  </si>
  <si>
    <t>d5</t>
  </si>
  <si>
    <t>d6</t>
  </si>
  <si>
    <t>range -&gt; row</t>
  </si>
  <si>
    <t>no blanks</t>
  </si>
  <si>
    <t>scan_by_column</t>
  </si>
  <si>
    <t>col -&gt; col</t>
  </si>
  <si>
    <t>row -&gt; col</t>
  </si>
  <si>
    <t>range -&gt; col</t>
  </si>
  <si>
    <t>2D -&gt; 1D*0</t>
  </si>
  <si>
    <t>2D -&gt; 1D*1</t>
  </si>
  <si>
    <t>1D -&gt; 2D</t>
  </si>
  <si>
    <t>vstack to 1 col</t>
  </si>
  <si>
    <t>vstack unequal
width</t>
  </si>
  <si>
    <t>hstack unequal
heigth</t>
  </si>
  <si>
    <t>hstack to 1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</si>
</sst>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Arial"/>
      <family val="2"/>
    </font>
    <font>
      <u/>
      <sz val="9.6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quotePrefix="1" applyFont="1" applyAlignment="1">
      <alignment vertical="center" wrapText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4">
    <cellStyle name="Hyperlink 2" xfId="1" xr:uid="{00000000-0005-0000-0000-000000000000}"/>
    <cellStyle name="Normal" xfId="0" builtinId="0"/>
    <cellStyle name="Standaard 2" xfId="2" xr:uid="{00000000-0005-0000-0000-000003000000}"/>
    <cellStyle name="Standaard_Duikperiodes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:schema xmlns:xs="http://www.w3.org/2001/XMLSchema" xmlns="">
      <xs:element name="divesites" type="divesitesType"/>
      <xs:complexType name="divesitesType">
        <xs:sequence>
          <xs:element type="siteType" name="site" maxOccurs="unbounded" minOccurs="0"/>
        </xs:sequence>
      </xs:complexType>
      <xs:complexType name="siteType">
        <xs:sequence>
          <xs:element type="xs:string" name="notes" minOccurs="0"/>
          <xs:element type="geoType" name="geo2" minOccurs="0"/>
          <xs:element type="geoType" name="geo3" minOccurs="0"/>
          <xs:element type="geoType" name="geo5" minOccurs="0"/>
        </xs:sequence>
        <xs:attribute type="xs:string" name="uuid" use="optional"/>
        <xs:attribute type="xs:string" name="name" use="optional"/>
        <xs:attribute type="xs:string" name="gps" use="optional"/>
        <xs:attribute type="xs:string" name="description" use="optional"/>
      </xs:complexType>
      <xs:complexType name="geoType">
        <xs:simpleContent>
          <xs:extension base="xs:string">
            <xs:attribute type="xs:string" name="value"/>
          </xs:extension>
        </xs:simpleContent>
      </xs:complexType>
    </xs:schema>
  </Schema>
  <Map ID="48" Name="divesites_Map1" RootElement="divesites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xmlMaps" Target="xmlMap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2</xdr:col>
          <xdr:colOff>2219325</xdr:colOff>
          <xdr:row>0</xdr:row>
          <xdr:rowOff>171450</xdr:rowOff>
        </xdr:to>
        <xdr:sp macro="" textlink="">
          <xdr:nvSpPr>
            <xdr:cNvPr id="23555" name="Button 1" descr="Refresh PivotTable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VBA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2</xdr:col>
          <xdr:colOff>2219325</xdr:colOff>
          <xdr:row>0</xdr:row>
          <xdr:rowOff>171450</xdr:rowOff>
        </xdr:to>
        <xdr:sp macro="" textlink="">
          <xdr:nvSpPr>
            <xdr:cNvPr id="25601" name="Button 1" descr="Refresh PivotTables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VBA Editor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7FB5F-0F21-4FBF-AE47-ED9C7DE67E18}">
  <sheetPr codeName="Sheet10"/>
  <dimension ref="A2:N64"/>
  <sheetViews>
    <sheetView topLeftCell="A19" workbookViewId="0">
      <selection activeCell="D11" sqref="D11"/>
    </sheetView>
  </sheetViews>
  <sheetFormatPr defaultRowHeight="15" x14ac:dyDescent="0.2"/>
  <cols>
    <col min="1" max="1" width="6" style="6" customWidth="1"/>
    <col min="2" max="2" width="13.5546875" style="6" bestFit="1" customWidth="1"/>
    <col min="3" max="3" width="33.6640625" style="6" customWidth="1"/>
    <col min="4" max="4" width="15.33203125" style="11" customWidth="1"/>
    <col min="5" max="5" width="7.88671875" style="6" bestFit="1" customWidth="1"/>
    <col min="6" max="6" width="5.109375" style="6" bestFit="1" customWidth="1"/>
    <col min="7" max="7" width="7.6640625" style="6" bestFit="1" customWidth="1"/>
    <col min="8" max="8" width="2" style="6" bestFit="1" customWidth="1"/>
    <col min="9" max="9" width="14.21875" style="6" bestFit="1" customWidth="1"/>
    <col min="10" max="10" width="20.5546875" style="11" bestFit="1" customWidth="1"/>
    <col min="11" max="14" width="8.88671875" style="6"/>
  </cols>
  <sheetData>
    <row r="2" spans="1:14" ht="15.75" x14ac:dyDescent="0.2">
      <c r="C2" s="2" t="s">
        <v>0</v>
      </c>
    </row>
    <row r="3" spans="1:14" x14ac:dyDescent="0.2">
      <c r="C3" s="1" t="s">
        <v>10</v>
      </c>
    </row>
    <row r="4" spans="1:14" x14ac:dyDescent="0.2">
      <c r="C4" s="6" t="s">
        <v>2</v>
      </c>
    </row>
    <row r="5" spans="1:14" x14ac:dyDescent="0.2">
      <c r="C5" s="22" t="s">
        <v>48</v>
      </c>
      <c r="D5" s="22"/>
    </row>
    <row r="6" spans="1:14" x14ac:dyDescent="0.2">
      <c r="C6" s="6" t="s">
        <v>11</v>
      </c>
    </row>
    <row r="8" spans="1:14" ht="15.75" x14ac:dyDescent="0.2">
      <c r="A8" s="7" t="s">
        <v>4</v>
      </c>
      <c r="B8" s="7" t="s">
        <v>29</v>
      </c>
      <c r="C8" s="2" t="s">
        <v>1</v>
      </c>
      <c r="D8" s="14" t="s">
        <v>12</v>
      </c>
      <c r="I8" s="7" t="s">
        <v>30</v>
      </c>
      <c r="J8" s="14" t="s">
        <v>18</v>
      </c>
    </row>
    <row r="9" spans="1:14" ht="15.75" x14ac:dyDescent="0.2">
      <c r="A9" s="8" t="str">
        <f t="shared" ref="A9:A29" si="0">IF(AND(D9=J9,E9=K9,F9=L9,G9=M9,H9=N9),"","X")</f>
        <v/>
      </c>
      <c r="B9" s="9" t="s">
        <v>9</v>
      </c>
      <c r="C9" s="3" t="str">
        <f ca="1">_xlfn.FORMULATEXT(D9)</f>
        <v>=TEXTSPLIT(C3; ",")</v>
      </c>
      <c r="D9" s="12" t="str" cm="1">
        <f t="array" ref="D9">TEXTSPLIT(C3, ",")</f>
        <v>Dakota Lennon  Sanchez</v>
      </c>
      <c r="J9" s="13" t="s">
        <v>10</v>
      </c>
    </row>
    <row r="10" spans="1:14" ht="15.75" x14ac:dyDescent="0.2">
      <c r="A10" s="8" t="e">
        <f t="shared" si="0"/>
        <v>#N/A</v>
      </c>
      <c r="B10" s="6" t="s">
        <v>3</v>
      </c>
      <c r="C10" s="3" t="str">
        <f ca="1">_xlfn.FORMULATEXT(D10)</f>
        <v>=TEXTSPLIT(C3; " ")</v>
      </c>
      <c r="D10" s="12" t="str" cm="1">
        <f t="array" ref="D10:G10">TEXTSPLIT(C3, " ")</f>
        <v>Dakota</v>
      </c>
      <c r="E10" s="6" t="str">
        <v>Lennon</v>
      </c>
      <c r="F10" s="6" t="e">
        <v>#N/A</v>
      </c>
      <c r="G10" s="6" t="str">
        <v>Sanchez</v>
      </c>
      <c r="J10" s="13" t="s">
        <v>19</v>
      </c>
      <c r="K10" s="1" t="s">
        <v>20</v>
      </c>
      <c r="L10" s="6" t="e">
        <f>NA()</f>
        <v>#N/A</v>
      </c>
      <c r="M10" s="6" t="s">
        <v>21</v>
      </c>
    </row>
    <row r="11" spans="1:14" ht="15.75" x14ac:dyDescent="0.2">
      <c r="A11" s="8" t="str">
        <f t="shared" si="0"/>
        <v/>
      </c>
      <c r="B11" s="6" t="s">
        <v>7</v>
      </c>
      <c r="C11" s="3" t="str">
        <f ca="1">_xlfn.FORMULATEXT(D11)</f>
        <v>=TEXTSPLIT(C3;;" ";;;"-")</v>
      </c>
      <c r="D11" s="12" t="str" cm="1">
        <f t="array" ref="D11:D14">TEXTSPLIT(C3,," ",,,"-")</f>
        <v>Dakota</v>
      </c>
      <c r="J11" s="13" t="s">
        <v>19</v>
      </c>
    </row>
    <row r="12" spans="1:14" ht="15.75" x14ac:dyDescent="0.2">
      <c r="A12" s="8" t="str">
        <f t="shared" si="0"/>
        <v/>
      </c>
      <c r="C12" s="3"/>
      <c r="D12" s="11" t="str">
        <v>Lennon</v>
      </c>
      <c r="J12" s="13" t="s">
        <v>20</v>
      </c>
    </row>
    <row r="13" spans="1:14" ht="15.75" x14ac:dyDescent="0.2">
      <c r="A13" s="8" t="str">
        <f t="shared" si="0"/>
        <v/>
      </c>
      <c r="C13" s="3"/>
      <c r="D13" s="11" t="str">
        <v>-</v>
      </c>
      <c r="J13" s="12" t="s">
        <v>33</v>
      </c>
    </row>
    <row r="14" spans="1:14" ht="15.75" x14ac:dyDescent="0.2">
      <c r="A14" s="8" t="str">
        <f t="shared" si="0"/>
        <v/>
      </c>
      <c r="C14" s="3"/>
      <c r="D14" s="12" t="str">
        <v>Sanchez</v>
      </c>
      <c r="J14" s="11" t="s">
        <v>21</v>
      </c>
    </row>
    <row r="15" spans="1:14" ht="30" x14ac:dyDescent="0.2">
      <c r="A15" s="8" t="str">
        <f t="shared" si="0"/>
        <v/>
      </c>
      <c r="B15" s="1" t="s">
        <v>5</v>
      </c>
      <c r="C15" s="3" t="str">
        <f ca="1">_xlfn.FORMULATEXT(D15)</f>
        <v>=TEXTSPLIT(C4;", "; " x ")</v>
      </c>
      <c r="D15" s="12" t="str" cm="1">
        <f t="array" ref="D15:H15">TEXTSPLIT(C4,", ", " x ")</f>
        <v>1</v>
      </c>
      <c r="E15" s="6" t="str">
        <v>2</v>
      </c>
      <c r="F15" s="6" t="str">
        <v>3 X 4</v>
      </c>
      <c r="G15" s="6" t="str">
        <v>5</v>
      </c>
      <c r="H15" s="6" t="str">
        <v>6</v>
      </c>
      <c r="J15" s="12" t="s">
        <v>22</v>
      </c>
      <c r="K15" s="10" t="s">
        <v>23</v>
      </c>
      <c r="L15" s="10" t="s">
        <v>28</v>
      </c>
      <c r="M15" s="10" t="s">
        <v>26</v>
      </c>
      <c r="N15" s="10" t="s">
        <v>27</v>
      </c>
    </row>
    <row r="16" spans="1:14" ht="30" x14ac:dyDescent="0.2">
      <c r="A16" s="8" t="str">
        <f t="shared" si="0"/>
        <v/>
      </c>
      <c r="B16" s="1" t="s">
        <v>6</v>
      </c>
      <c r="C16" s="3" t="str">
        <f ca="1">_xlfn.FORMULATEXT(D16)</f>
        <v>=TEXTSPLIT(C4;", "; " x ";;1)</v>
      </c>
      <c r="D16" s="12" t="str" cm="1">
        <f t="array" ref="D16:F17">TEXTSPLIT(C4,", ", " x ",,1)</f>
        <v>1</v>
      </c>
      <c r="E16" s="6" t="str">
        <v>2</v>
      </c>
      <c r="F16" s="6" t="str">
        <v>3</v>
      </c>
      <c r="J16" s="12" t="s">
        <v>22</v>
      </c>
      <c r="K16" s="10" t="s">
        <v>23</v>
      </c>
      <c r="L16" s="10" t="s">
        <v>24</v>
      </c>
    </row>
    <row r="17" spans="1:14" ht="15.75" x14ac:dyDescent="0.2">
      <c r="A17" s="8" t="str">
        <f t="shared" si="0"/>
        <v/>
      </c>
      <c r="C17" s="3"/>
      <c r="D17" s="11" t="str">
        <v>4</v>
      </c>
      <c r="E17" s="6" t="str">
        <v>5</v>
      </c>
      <c r="F17" s="6" t="str">
        <v>6</v>
      </c>
      <c r="J17" s="12" t="s">
        <v>25</v>
      </c>
      <c r="K17" s="10" t="s">
        <v>26</v>
      </c>
      <c r="L17" s="10" t="s">
        <v>27</v>
      </c>
    </row>
    <row r="18" spans="1:14" ht="15.75" x14ac:dyDescent="0.2">
      <c r="A18" s="8" t="str">
        <f t="shared" si="0"/>
        <v/>
      </c>
      <c r="B18" s="6" t="s">
        <v>8</v>
      </c>
      <c r="C18" s="3" t="str">
        <f t="shared" ref="C18:C32" ca="1" si="1">_xlfn.FORMULATEXT(D18)</f>
        <v>=TEXTSPLIT(C5; "="; ","; ; ;"-")</v>
      </c>
      <c r="D18" s="12" t="str" cm="1">
        <f t="array" ref="D18:E20">TEXTSPLIT(C5, "=", ",", , ,"-")</f>
        <v>Name</v>
      </c>
      <c r="E18" s="6" t="str">
        <v>Aiden</v>
      </c>
      <c r="J18" s="11" t="s">
        <v>38</v>
      </c>
      <c r="K18" s="6" t="s">
        <v>37</v>
      </c>
    </row>
    <row r="19" spans="1:14" ht="15.75" x14ac:dyDescent="0.2">
      <c r="A19" s="8" t="str">
        <f t="shared" si="0"/>
        <v/>
      </c>
      <c r="C19" s="3"/>
      <c r="D19" s="11" t="str">
        <v>Score</v>
      </c>
      <c r="E19" s="6" t="str">
        <v>-</v>
      </c>
      <c r="J19" s="11" t="s">
        <v>31</v>
      </c>
      <c r="K19" s="10" t="s">
        <v>33</v>
      </c>
    </row>
    <row r="20" spans="1:14" ht="15.75" x14ac:dyDescent="0.2">
      <c r="A20" s="8" t="str">
        <f t="shared" si="0"/>
        <v/>
      </c>
      <c r="C20" s="3"/>
      <c r="D20" s="11" t="str">
        <v>Result</v>
      </c>
      <c r="E20" s="6" t="str">
        <v>Excellent</v>
      </c>
      <c r="J20" s="11" t="s">
        <v>32</v>
      </c>
      <c r="K20" s="6" t="s">
        <v>36</v>
      </c>
    </row>
    <row r="21" spans="1:14" ht="15.75" x14ac:dyDescent="0.2">
      <c r="A21" s="8" t="str">
        <f t="shared" si="0"/>
        <v/>
      </c>
      <c r="B21" s="6" t="s">
        <v>8</v>
      </c>
      <c r="C21" s="3" t="str">
        <f t="shared" ca="1" si="1"/>
        <v>=TEXTSPLIT(C6; ","; ";"; ; ;"-")</v>
      </c>
      <c r="D21" s="11" t="str" cm="1">
        <f t="array" ref="D21:F23">TEXTSPLIT(C6, ",", ";", , ,"-")</f>
        <v>1</v>
      </c>
      <c r="E21" s="6" t="str">
        <v>-</v>
      </c>
      <c r="F21" s="6" t="str">
        <v>3</v>
      </c>
      <c r="J21" s="12" t="s">
        <v>22</v>
      </c>
      <c r="K21" s="10" t="s">
        <v>33</v>
      </c>
      <c r="L21" s="10" t="s">
        <v>24</v>
      </c>
    </row>
    <row r="22" spans="1:14" ht="15.75" x14ac:dyDescent="0.2">
      <c r="A22" s="8" t="str">
        <f t="shared" si="0"/>
        <v/>
      </c>
      <c r="C22" s="3"/>
      <c r="D22" s="11" t="str">
        <v>-</v>
      </c>
      <c r="E22" s="6" t="str">
        <v>-</v>
      </c>
      <c r="F22" s="6" t="str">
        <v>-</v>
      </c>
      <c r="J22" s="12" t="s">
        <v>33</v>
      </c>
      <c r="K22" s="10" t="s">
        <v>33</v>
      </c>
      <c r="L22" s="10" t="s">
        <v>33</v>
      </c>
    </row>
    <row r="23" spans="1:14" ht="15.75" x14ac:dyDescent="0.2">
      <c r="A23" s="8" t="str">
        <f t="shared" si="0"/>
        <v/>
      </c>
      <c r="C23" s="3"/>
      <c r="D23" s="11" t="str">
        <v>7</v>
      </c>
      <c r="E23" s="6" t="str">
        <v>8</v>
      </c>
      <c r="F23" s="6" t="str">
        <v>9</v>
      </c>
      <c r="J23" s="12" t="s">
        <v>39</v>
      </c>
      <c r="K23" s="10" t="s">
        <v>40</v>
      </c>
      <c r="L23" s="10" t="s">
        <v>41</v>
      </c>
    </row>
    <row r="24" spans="1:14" ht="15.75" x14ac:dyDescent="0.2">
      <c r="A24" s="8" t="str">
        <f t="shared" si="0"/>
        <v>X</v>
      </c>
      <c r="B24" s="6" t="s">
        <v>42</v>
      </c>
      <c r="C24" s="3" t="s">
        <v>43</v>
      </c>
      <c r="J24" s="12" t="s">
        <v>22</v>
      </c>
      <c r="K24" s="10" t="s">
        <v>24</v>
      </c>
      <c r="L24" s="10" t="s">
        <v>33</v>
      </c>
    </row>
    <row r="25" spans="1:14" ht="15.75" x14ac:dyDescent="0.2">
      <c r="A25" s="8" t="str">
        <f t="shared" si="0"/>
        <v>X</v>
      </c>
      <c r="C25" s="3"/>
      <c r="J25" s="12" t="s">
        <v>39</v>
      </c>
      <c r="K25" s="10" t="s">
        <v>40</v>
      </c>
      <c r="L25" s="10" t="s">
        <v>41</v>
      </c>
    </row>
    <row r="26" spans="1:14" ht="15.75" x14ac:dyDescent="0.2">
      <c r="A26" s="8" t="str">
        <f t="shared" si="0"/>
        <v/>
      </c>
      <c r="C26" s="3"/>
    </row>
    <row r="27" spans="1:14" ht="15.75" x14ac:dyDescent="0.2">
      <c r="A27" s="8" t="e">
        <f t="shared" si="0"/>
        <v>#N/A</v>
      </c>
      <c r="B27" s="9" t="s">
        <v>9</v>
      </c>
      <c r="C27" s="3" t="str">
        <f t="shared" ca="1" si="1"/>
        <v>=TEXTBEFORE(C5;"/")</v>
      </c>
      <c r="D27" s="11" t="e" cm="1">
        <f t="array" ref="D27">TEXTBEFORE(C5,"/")</f>
        <v>#N/A</v>
      </c>
      <c r="E27" s="11"/>
      <c r="F27" s="11"/>
      <c r="G27" s="11"/>
      <c r="H27" s="11"/>
      <c r="I27" s="11"/>
      <c r="J27" s="12" t="e">
        <f>NA()</f>
        <v>#N/A</v>
      </c>
      <c r="K27" s="11"/>
      <c r="L27" s="11"/>
      <c r="M27" s="11"/>
      <c r="N27" s="11"/>
    </row>
    <row r="28" spans="1:14" ht="15.75" x14ac:dyDescent="0.2">
      <c r="A28" s="8" t="str">
        <f t="shared" si="0"/>
        <v/>
      </c>
      <c r="B28" s="9" t="s">
        <v>55</v>
      </c>
      <c r="C28" s="3" t="str">
        <f t="shared" ca="1" si="1"/>
        <v>=TEXTBEFORE(C4;"x";;0;;"--")</v>
      </c>
      <c r="D28" s="11" t="str" cm="1">
        <f t="array" ref="D28">TEXTBEFORE(C4,"x",,0,,"--")</f>
        <v>--</v>
      </c>
      <c r="E28" s="11"/>
      <c r="F28" s="11"/>
      <c r="G28" s="11"/>
      <c r="H28" s="11"/>
      <c r="I28" s="11"/>
      <c r="J28" s="12" t="s">
        <v>35</v>
      </c>
      <c r="K28" s="11"/>
      <c r="L28" s="11"/>
      <c r="M28" s="11"/>
      <c r="N28" s="11"/>
    </row>
    <row r="29" spans="1:14" ht="15.75" x14ac:dyDescent="0.2">
      <c r="A29" s="8" t="str">
        <f t="shared" si="0"/>
        <v/>
      </c>
      <c r="B29" s="9" t="s">
        <v>54</v>
      </c>
      <c r="C29" s="3" t="str">
        <f t="shared" ca="1" si="1"/>
        <v>=TEXTBEFORE(C4;"x";;1;;"--")</v>
      </c>
      <c r="D29" s="11" t="str" cm="1">
        <f t="array" ref="D29">TEXTBEFORE(C4,"x",,1,,"--")</f>
        <v xml:space="preserve">1, 2, 3 </v>
      </c>
      <c r="E29" s="11"/>
      <c r="F29" s="11"/>
      <c r="G29" s="11"/>
      <c r="H29" s="11"/>
      <c r="I29" s="11"/>
      <c r="J29" s="6" t="s">
        <v>56</v>
      </c>
      <c r="K29" s="11"/>
      <c r="L29" s="11"/>
      <c r="M29" s="11"/>
      <c r="N29" s="11"/>
    </row>
    <row r="30" spans="1:14" ht="15.75" x14ac:dyDescent="0.2">
      <c r="A30" s="8" t="str">
        <f t="shared" ref="A30:A52" si="2">IF(AND(D30=J30,E30=K30,F30=L30,G30=M30,H30=N30),"","X")</f>
        <v/>
      </c>
      <c r="B30" s="20" t="s">
        <v>47</v>
      </c>
      <c r="C30" s="3" t="str">
        <f t="shared" ca="1" si="1"/>
        <v>=TEXTBEFORE(C5;"")</v>
      </c>
      <c r="D30" s="11" t="str" cm="1">
        <f t="array" ref="D30">TEXTBEFORE(C5,"")</f>
        <v/>
      </c>
      <c r="E30" s="11"/>
      <c r="F30" s="11"/>
      <c r="G30" s="11"/>
      <c r="H30" s="11"/>
      <c r="I30" s="11"/>
      <c r="J30" s="12"/>
      <c r="K30" s="11"/>
      <c r="L30" s="11"/>
      <c r="M30" s="11"/>
      <c r="N30" s="11"/>
    </row>
    <row r="31" spans="1:14" ht="15.75" x14ac:dyDescent="0.2">
      <c r="A31" s="8" t="str">
        <f t="shared" si="2"/>
        <v/>
      </c>
      <c r="B31" s="21"/>
      <c r="C31" s="3" t="str">
        <f ca="1">_xlfn.FORMULATEXT(D31)</f>
        <v>=TEXTAFTER(C5;"")</v>
      </c>
      <c r="D31" s="11" t="str" cm="1">
        <f t="array" ref="D31">TEXTAFTER(C5,"")</f>
        <v>Name=Aiden,Score,Result=Excellent</v>
      </c>
      <c r="E31" s="11"/>
      <c r="F31" s="11"/>
      <c r="G31" s="11"/>
      <c r="H31" s="11"/>
      <c r="I31" s="11"/>
      <c r="J31" s="22" t="s">
        <v>48</v>
      </c>
      <c r="K31" s="22"/>
      <c r="L31" s="11"/>
      <c r="M31" s="11"/>
      <c r="N31" s="11"/>
    </row>
    <row r="32" spans="1:14" ht="15.75" x14ac:dyDescent="0.2">
      <c r="A32" s="8" t="str">
        <f t="shared" si="2"/>
        <v/>
      </c>
      <c r="B32" s="20" t="s">
        <v>46</v>
      </c>
      <c r="C32" s="3" t="str">
        <f t="shared" ca="1" si="1"/>
        <v>=TEXTBEFORE(C5;"";-1)</v>
      </c>
      <c r="D32" s="11" t="str" cm="1">
        <f t="array" ref="D32">TEXTBEFORE(C5,"",-1)</f>
        <v>Name=Aiden,Score,Result=Excellent</v>
      </c>
      <c r="E32" s="11"/>
      <c r="F32" s="11"/>
      <c r="G32" s="11"/>
      <c r="H32" s="11"/>
      <c r="I32" s="11"/>
      <c r="J32" s="22" t="s">
        <v>48</v>
      </c>
      <c r="K32" s="22"/>
      <c r="L32" s="11"/>
      <c r="M32" s="11"/>
      <c r="N32" s="11"/>
    </row>
    <row r="33" spans="1:14" ht="15.75" x14ac:dyDescent="0.2">
      <c r="A33" s="8" t="str">
        <f t="shared" si="2"/>
        <v/>
      </c>
      <c r="B33" s="20"/>
      <c r="C33" s="3" t="str">
        <f t="shared" ref="C33:C46" ca="1" si="3">_xlfn.FORMULATEXT(D33)</f>
        <v>=TEXTAFTER(C5;"";-1)</v>
      </c>
      <c r="D33" s="11" t="str" cm="1">
        <f t="array" ref="D33">TEXTAFTER(C5,"",-1)</f>
        <v/>
      </c>
      <c r="E33" s="11"/>
      <c r="F33" s="11"/>
      <c r="G33" s="11"/>
      <c r="H33" s="11"/>
      <c r="I33" s="11"/>
      <c r="K33" s="11"/>
      <c r="L33" s="11"/>
      <c r="M33" s="11"/>
      <c r="N33" s="11"/>
    </row>
    <row r="34" spans="1:14" ht="30.75" customHeight="1" x14ac:dyDescent="0.2">
      <c r="A34" s="8" t="str">
        <f t="shared" si="2"/>
        <v/>
      </c>
      <c r="B34" s="19" t="s">
        <v>13</v>
      </c>
      <c r="C34" s="3" t="str">
        <f t="shared" ca="1" si="3"/>
        <v>=TEXTBEFORE(C5;",";1;;FALSE;"--")</v>
      </c>
      <c r="D34" s="11" t="str" cm="1">
        <f t="array" ref="D34">TEXTBEFORE(C5,",",1,,FALSE,"--")</f>
        <v>Name=Aiden</v>
      </c>
      <c r="E34" s="11"/>
      <c r="F34" s="11"/>
      <c r="G34" s="11"/>
      <c r="H34" s="11"/>
      <c r="I34" s="11"/>
      <c r="J34" s="22" t="s">
        <v>34</v>
      </c>
      <c r="K34" s="22"/>
      <c r="L34" s="11"/>
      <c r="M34" s="11"/>
      <c r="N34" s="11"/>
    </row>
    <row r="35" spans="1:14" ht="15.75" x14ac:dyDescent="0.2">
      <c r="A35" s="8" t="str">
        <f t="shared" si="2"/>
        <v/>
      </c>
      <c r="B35" s="19"/>
      <c r="C35" s="3" t="str">
        <f t="shared" ca="1" si="3"/>
        <v>=TEXTAFTER(C5;",";1;;FALSE;"--")</v>
      </c>
      <c r="D35" s="11" t="str" cm="1">
        <f t="array" ref="D35">TEXTAFTER(C5,",",1,,FALSE,"--")</f>
        <v>Score,Result=Excellent</v>
      </c>
      <c r="E35" s="11"/>
      <c r="F35" s="11"/>
      <c r="G35" s="11"/>
      <c r="H35" s="11"/>
      <c r="I35" s="11"/>
      <c r="J35" s="22" t="s">
        <v>52</v>
      </c>
      <c r="K35" s="22"/>
      <c r="L35" s="11"/>
      <c r="M35" s="11"/>
      <c r="N35" s="11"/>
    </row>
    <row r="36" spans="1:14" ht="15.75" x14ac:dyDescent="0.2">
      <c r="A36" s="8" t="str">
        <f t="shared" si="2"/>
        <v/>
      </c>
      <c r="B36" s="19"/>
      <c r="C36" s="3" t="str">
        <f t="shared" ca="1" si="3"/>
        <v>=TEXTBEFORE(C5;",";2;;FALSE;"--")</v>
      </c>
      <c r="D36" s="11" t="str" cm="1">
        <f t="array" ref="D36">TEXTBEFORE(C5,",",2,,FALSE,"--")</f>
        <v>Name=Aiden,Score</v>
      </c>
      <c r="E36" s="11"/>
      <c r="F36" s="11"/>
      <c r="G36" s="11"/>
      <c r="H36" s="11"/>
      <c r="I36" s="11"/>
      <c r="J36" s="22" t="s">
        <v>49</v>
      </c>
      <c r="K36" s="22"/>
      <c r="L36" s="11"/>
      <c r="M36" s="11"/>
      <c r="N36" s="11"/>
    </row>
    <row r="37" spans="1:14" ht="15.75" x14ac:dyDescent="0.2">
      <c r="A37" s="8" t="str">
        <f t="shared" si="2"/>
        <v/>
      </c>
      <c r="B37" s="19"/>
      <c r="C37" s="3" t="str">
        <f t="shared" ca="1" si="3"/>
        <v>=TEXTAFTER(C5;",";2;;FALSE;"--")</v>
      </c>
      <c r="D37" s="11" t="str" cm="1">
        <f t="array" ref="D37">TEXTAFTER(C5,",",2,,FALSE,"--")</f>
        <v>Result=Excellent</v>
      </c>
      <c r="E37" s="11"/>
      <c r="F37" s="11"/>
      <c r="G37" s="11"/>
      <c r="H37" s="11"/>
      <c r="I37" s="11"/>
      <c r="J37" s="22" t="s">
        <v>45</v>
      </c>
      <c r="K37" s="22"/>
      <c r="L37" s="11"/>
      <c r="M37" s="11"/>
      <c r="N37" s="11"/>
    </row>
    <row r="38" spans="1:14" ht="15.75" x14ac:dyDescent="0.2">
      <c r="A38" s="8" t="str">
        <f t="shared" si="2"/>
        <v/>
      </c>
      <c r="B38" s="19"/>
      <c r="C38" s="3" t="str">
        <f t="shared" ca="1" si="3"/>
        <v>=TEXTBEFORE(C5;",";3;;FALSE;"--")</v>
      </c>
      <c r="D38" s="11" t="str" cm="1">
        <f t="array" ref="D38">TEXTBEFORE(C5,",",3,,FALSE,"--")</f>
        <v>--</v>
      </c>
      <c r="E38" s="11"/>
      <c r="F38" s="11"/>
      <c r="G38" s="11"/>
      <c r="H38" s="11"/>
      <c r="I38" s="11"/>
      <c r="J38" s="12" t="s">
        <v>35</v>
      </c>
      <c r="K38" s="11"/>
      <c r="L38" s="11"/>
      <c r="M38" s="11"/>
      <c r="N38" s="11"/>
    </row>
    <row r="39" spans="1:14" ht="15.75" x14ac:dyDescent="0.2">
      <c r="A39" s="8" t="str">
        <f t="shared" si="2"/>
        <v/>
      </c>
      <c r="B39" s="19"/>
      <c r="C39" s="3" t="str">
        <f t="shared" ca="1" si="3"/>
        <v>=TEXTAFTER(C5;",";3;;FALSE;"--")</v>
      </c>
      <c r="D39" s="11" t="str" cm="1">
        <f t="array" ref="D39">TEXTAFTER(C5,",",3,,FALSE,"--")</f>
        <v>--</v>
      </c>
      <c r="E39" s="11"/>
      <c r="F39" s="11"/>
      <c r="G39" s="11"/>
      <c r="H39" s="11"/>
      <c r="I39" s="11"/>
      <c r="J39" s="12" t="s">
        <v>35</v>
      </c>
      <c r="K39" s="11"/>
      <c r="L39" s="11"/>
      <c r="M39" s="11"/>
      <c r="N39" s="11"/>
    </row>
    <row r="40" spans="1:14" ht="30" x14ac:dyDescent="0.2">
      <c r="A40" s="8" t="str">
        <f>IF(AND(D40=J40,E40=K40,F40=L40,G40=M40,H40=N40),"","X")</f>
        <v/>
      </c>
      <c r="B40" s="19" t="s">
        <v>14</v>
      </c>
      <c r="C40" s="3" t="str">
        <f t="shared" ca="1" si="3"/>
        <v>=TEXTBEFORE(C5;",";3;;TRUE;"--")</v>
      </c>
      <c r="D40" s="11" t="str" cm="1">
        <f t="array" ref="D40">TEXTBEFORE(C5,",",3,,TRUE,"--")</f>
        <v>Name=Aiden,Score,Result=Excellent</v>
      </c>
      <c r="E40" s="11"/>
      <c r="F40" s="11"/>
      <c r="G40" s="11"/>
      <c r="H40" s="11"/>
      <c r="I40" s="13" t="s">
        <v>44</v>
      </c>
      <c r="J40" s="22" t="s">
        <v>48</v>
      </c>
      <c r="K40" s="22"/>
      <c r="L40" s="11"/>
      <c r="M40" s="11"/>
      <c r="N40" s="11"/>
    </row>
    <row r="41" spans="1:14" ht="15.75" x14ac:dyDescent="0.2">
      <c r="A41" s="8" t="str">
        <f>IF(AND(D41=J41,E41=K41,F41=L41,G41=M41,H41=N41),"","X")</f>
        <v/>
      </c>
      <c r="B41" s="19"/>
      <c r="C41" s="3" t="str">
        <f t="shared" ca="1" si="3"/>
        <v>=TEXTAFTER(C5;",";3;;TRUE;"--")</v>
      </c>
      <c r="D41" s="11" t="str" cm="1">
        <f t="array" ref="D41">TEXTAFTER(C5,",",3,,TRUE,"--")</f>
        <v/>
      </c>
      <c r="E41" s="11"/>
      <c r="F41" s="11"/>
      <c r="G41" s="11"/>
      <c r="H41" s="11"/>
      <c r="I41" s="11"/>
      <c r="J41" s="12" t="s">
        <v>53</v>
      </c>
      <c r="K41" s="11"/>
      <c r="L41" s="11"/>
      <c r="M41" s="11"/>
      <c r="N41" s="11"/>
    </row>
    <row r="42" spans="1:14" ht="30" customHeight="1" x14ac:dyDescent="0.2">
      <c r="A42" s="8" t="str">
        <f t="shared" si="2"/>
        <v/>
      </c>
      <c r="B42" s="19" t="s">
        <v>16</v>
      </c>
      <c r="C42" s="3" t="str">
        <f t="shared" ca="1" si="3"/>
        <v>=TEXTBEFORE(C5;",";-1;;FALSE;"--")</v>
      </c>
      <c r="D42" s="11" t="str" cm="1">
        <f t="array" ref="D42">TEXTBEFORE(C5,",",-1,,FALSE,"--")</f>
        <v>Name=Aiden,Score</v>
      </c>
      <c r="E42" s="11"/>
      <c r="F42" s="11"/>
      <c r="G42" s="11"/>
      <c r="H42" s="11"/>
      <c r="I42" s="11"/>
      <c r="J42" s="22" t="s">
        <v>49</v>
      </c>
      <c r="K42" s="22"/>
      <c r="L42" s="11"/>
      <c r="M42" s="11"/>
      <c r="N42" s="11"/>
    </row>
    <row r="43" spans="1:14" ht="15.75" x14ac:dyDescent="0.2">
      <c r="A43" s="8" t="str">
        <f t="shared" si="2"/>
        <v/>
      </c>
      <c r="B43" s="19"/>
      <c r="C43" s="3" t="str">
        <f t="shared" ca="1" si="3"/>
        <v>=TEXTAFTER(C5;",";-1;;FALSE;"--")</v>
      </c>
      <c r="D43" s="11" t="str" cm="1">
        <f t="array" ref="D43">TEXTAFTER(C5,",",-1,,FALSE,"--")</f>
        <v>Result=Excellent</v>
      </c>
      <c r="E43" s="11"/>
      <c r="F43" s="11"/>
      <c r="G43" s="11"/>
      <c r="H43" s="11"/>
      <c r="I43" s="11"/>
      <c r="J43" s="22" t="s">
        <v>45</v>
      </c>
      <c r="K43" s="22"/>
      <c r="L43" s="11"/>
      <c r="M43" s="11"/>
      <c r="N43" s="11"/>
    </row>
    <row r="44" spans="1:14" ht="15.75" x14ac:dyDescent="0.2">
      <c r="A44" s="8" t="str">
        <f t="shared" si="2"/>
        <v/>
      </c>
      <c r="B44" s="19"/>
      <c r="C44" s="3" t="str">
        <f t="shared" ca="1" si="3"/>
        <v>=TEXTBEFORE(C5;",";-2;;FALSE;"--")</v>
      </c>
      <c r="D44" s="11" t="str" cm="1">
        <f t="array" ref="D44">TEXTBEFORE(C5,",",-2,,FALSE,"--")</f>
        <v>Name=Aiden</v>
      </c>
      <c r="E44" s="11"/>
      <c r="F44" s="11"/>
      <c r="G44" s="11"/>
      <c r="H44" s="11"/>
      <c r="I44" s="11"/>
      <c r="J44" s="22" t="s">
        <v>34</v>
      </c>
      <c r="K44" s="22"/>
      <c r="L44" s="11"/>
      <c r="M44" s="11"/>
      <c r="N44" s="11"/>
    </row>
    <row r="45" spans="1:14" ht="15.75" x14ac:dyDescent="0.2">
      <c r="A45" s="8" t="str">
        <f t="shared" si="2"/>
        <v/>
      </c>
      <c r="B45" s="19"/>
      <c r="C45" s="3" t="str">
        <f t="shared" ca="1" si="3"/>
        <v>=TEXTBEFORE(C5;",";-3;;FALSE;"--")</v>
      </c>
      <c r="D45" s="11" t="str" cm="1">
        <f t="array" ref="D45">TEXTBEFORE(C5,",",-3,,FALSE,"--")</f>
        <v>--</v>
      </c>
      <c r="E45" s="11"/>
      <c r="F45" s="11"/>
      <c r="G45" s="11"/>
      <c r="H45" s="11"/>
      <c r="I45" s="11"/>
      <c r="J45" s="12" t="s">
        <v>35</v>
      </c>
      <c r="K45" s="11"/>
      <c r="L45" s="11"/>
      <c r="M45" s="11"/>
      <c r="N45" s="11"/>
    </row>
    <row r="46" spans="1:14" ht="15.75" x14ac:dyDescent="0.2">
      <c r="A46" s="8" t="str">
        <f t="shared" si="2"/>
        <v/>
      </c>
      <c r="B46" s="19"/>
      <c r="C46" s="3" t="str">
        <f t="shared" ca="1" si="3"/>
        <v>=TEXTAFTER(C5;",";-3;;FALSE;"--")</v>
      </c>
      <c r="D46" s="11" t="str" cm="1">
        <f t="array" ref="D46">TEXTAFTER(C5,",",-3,,FALSE,"--")</f>
        <v>--</v>
      </c>
      <c r="E46" s="11"/>
      <c r="F46" s="11"/>
      <c r="G46" s="11"/>
      <c r="H46" s="11"/>
      <c r="I46" s="11"/>
      <c r="J46" s="12" t="s">
        <v>35</v>
      </c>
      <c r="L46" s="11"/>
      <c r="M46" s="11"/>
      <c r="N46" s="11"/>
    </row>
    <row r="47" spans="1:14" ht="30" customHeight="1" x14ac:dyDescent="0.2">
      <c r="A47" s="8" t="str">
        <f t="shared" si="2"/>
        <v/>
      </c>
      <c r="B47" s="19" t="s">
        <v>15</v>
      </c>
      <c r="C47" s="3" t="str">
        <f t="shared" ref="C47:C52" ca="1" si="4">_xlfn.FORMULATEXT(D47)</f>
        <v>=TEXTBEFORE(C5;",";-3;;TRUE;"--")</v>
      </c>
      <c r="D47" s="11" t="str" cm="1">
        <f t="array" ref="D47">TEXTBEFORE(C5,",",-3,,TRUE,"--")</f>
        <v/>
      </c>
      <c r="E47" s="11"/>
      <c r="F47" s="11"/>
      <c r="G47" s="11"/>
      <c r="H47" s="11"/>
      <c r="I47" s="13" t="s">
        <v>50</v>
      </c>
      <c r="J47" s="12" t="s">
        <v>53</v>
      </c>
      <c r="K47" s="11"/>
      <c r="L47" s="11"/>
      <c r="M47" s="11"/>
      <c r="N47" s="11"/>
    </row>
    <row r="48" spans="1:14" ht="15.75" x14ac:dyDescent="0.2">
      <c r="A48" s="8" t="str">
        <f t="shared" si="2"/>
        <v/>
      </c>
      <c r="B48" s="19"/>
      <c r="C48" s="3" t="str">
        <f t="shared" ca="1" si="4"/>
        <v>=TEXTAFTER(C5;",";-3;;TRUE;"--")</v>
      </c>
      <c r="D48" s="11" t="str" cm="1">
        <f t="array" ref="D48">TEXTAFTER(C5,",",-3,,TRUE,"--")</f>
        <v>Name=Aiden,Score,Result=Excellent</v>
      </c>
      <c r="E48" s="11"/>
      <c r="F48" s="11"/>
      <c r="G48" s="11"/>
      <c r="H48" s="11"/>
      <c r="I48" s="13" t="s">
        <v>51</v>
      </c>
      <c r="J48" s="11" t="s">
        <v>48</v>
      </c>
      <c r="L48" s="11"/>
      <c r="M48" s="11"/>
      <c r="N48" s="11"/>
    </row>
    <row r="49" spans="1:14" ht="15.75" customHeight="1" x14ac:dyDescent="0.2">
      <c r="A49" s="8" t="str">
        <f t="shared" si="2"/>
        <v>X</v>
      </c>
      <c r="B49" s="19" t="s">
        <v>17</v>
      </c>
      <c r="C49" s="3" t="str">
        <f t="shared" ca="1" si="4"/>
        <v>=TEXTBEFORE(C5;"/";1;;TRUE;"--")</v>
      </c>
      <c r="D49" s="11" t="str" cm="1">
        <f t="array" ref="D49">TEXTBEFORE(C5,"/",1,,TRUE,"--")</f>
        <v>--</v>
      </c>
      <c r="E49" s="11"/>
      <c r="F49" s="11"/>
      <c r="G49" s="11"/>
      <c r="H49" s="11"/>
      <c r="I49" s="13"/>
      <c r="J49" s="11" t="s">
        <v>48</v>
      </c>
      <c r="L49" s="11"/>
      <c r="M49" s="11"/>
      <c r="N49" s="11"/>
    </row>
    <row r="50" spans="1:14" ht="15.75" x14ac:dyDescent="0.2">
      <c r="A50" s="8" t="str">
        <f t="shared" si="2"/>
        <v>X</v>
      </c>
      <c r="B50" s="19"/>
      <c r="C50" s="3" t="str">
        <f t="shared" ca="1" si="4"/>
        <v>=TEXTBEFORE(C5;"/";-1;;TRUE;"--")</v>
      </c>
      <c r="D50" s="11" t="str" cm="1">
        <f t="array" ref="D50">TEXTBEFORE(C5,"/",-1,,TRUE,"--")</f>
        <v>--</v>
      </c>
      <c r="E50" s="11"/>
      <c r="F50" s="11"/>
      <c r="G50" s="11"/>
      <c r="H50" s="11"/>
      <c r="I50" s="13"/>
      <c r="J50" s="12" t="s">
        <v>53</v>
      </c>
      <c r="L50" s="11"/>
      <c r="M50" s="11"/>
      <c r="N50" s="11"/>
    </row>
    <row r="51" spans="1:14" ht="15.75" x14ac:dyDescent="0.2">
      <c r="A51" s="8" t="str">
        <f t="shared" si="2"/>
        <v>X</v>
      </c>
      <c r="B51" s="19"/>
      <c r="C51" s="3" t="str">
        <f t="shared" ca="1" si="4"/>
        <v>=TEXTAFTER(C5;"/";1;;TRUE;"--")</v>
      </c>
      <c r="D51" s="11" t="str" cm="1">
        <f t="array" ref="D51">TEXTAFTER(C5,"/",1,,TRUE,"--")</f>
        <v>--</v>
      </c>
      <c r="E51" s="11"/>
      <c r="F51" s="11"/>
      <c r="G51" s="11"/>
      <c r="H51" s="11"/>
      <c r="I51" s="13"/>
      <c r="J51" s="12" t="s">
        <v>53</v>
      </c>
      <c r="K51" s="11"/>
      <c r="L51" s="11"/>
      <c r="M51" s="11"/>
      <c r="N51" s="11"/>
    </row>
    <row r="52" spans="1:14" ht="15.75" x14ac:dyDescent="0.2">
      <c r="A52" s="8" t="str">
        <f t="shared" si="2"/>
        <v>X</v>
      </c>
      <c r="B52" s="19"/>
      <c r="C52" s="3" t="str">
        <f t="shared" ca="1" si="4"/>
        <v>=TEXTAFTER(C5;"/";-1;;TRUE;"--")</v>
      </c>
      <c r="D52" s="11" t="str" cm="1">
        <f t="array" ref="D52">TEXTAFTER(C5,"/",-1,,TRUE,"--")</f>
        <v>--</v>
      </c>
      <c r="E52" s="11"/>
      <c r="F52" s="11"/>
      <c r="G52" s="11"/>
      <c r="H52" s="11"/>
      <c r="I52" s="11"/>
      <c r="J52" s="11" t="s">
        <v>48</v>
      </c>
      <c r="K52" s="11"/>
      <c r="L52" s="11"/>
      <c r="M52" s="11"/>
      <c r="N52" s="11"/>
    </row>
    <row r="53" spans="1:14" ht="15.75" x14ac:dyDescent="0.2">
      <c r="A53" s="8" t="str">
        <f>IF(AND(D53=J53,E53=K53,F53=L53,G53=M53,H53=N53),"","X")</f>
        <v/>
      </c>
      <c r="C53" s="3"/>
      <c r="E53" s="11"/>
      <c r="F53" s="11"/>
      <c r="G53" s="11"/>
      <c r="H53" s="11"/>
      <c r="I53" s="11"/>
      <c r="K53" s="11"/>
      <c r="L53" s="11"/>
      <c r="M53" s="11"/>
      <c r="N53" s="11"/>
    </row>
    <row r="54" spans="1:14" ht="15.75" x14ac:dyDescent="0.2">
      <c r="A54" s="8" t="str">
        <f>IF(AND(D54=J54,E54=K54,F54=L54,G54=M54,H54=N54),"","X")</f>
        <v/>
      </c>
      <c r="E54" s="11"/>
      <c r="F54" s="11"/>
      <c r="G54" s="11"/>
      <c r="H54" s="11"/>
      <c r="I54" s="11"/>
      <c r="K54" s="11"/>
      <c r="L54" s="11"/>
      <c r="M54" s="11"/>
      <c r="N54" s="11"/>
    </row>
    <row r="55" spans="1:14" ht="15.75" x14ac:dyDescent="0.2">
      <c r="A55" s="8" t="str">
        <f>IF(AND(D55=J55,E55=K55,F55=L55,G55=M55,H55=N55),"","X")</f>
        <v/>
      </c>
      <c r="E55" s="11"/>
      <c r="F55" s="11"/>
      <c r="G55" s="11"/>
      <c r="H55" s="11"/>
      <c r="I55" s="11"/>
      <c r="K55" s="11"/>
      <c r="L55" s="11"/>
      <c r="M55" s="11"/>
      <c r="N55" s="11"/>
    </row>
    <row r="56" spans="1:14" ht="15.75" x14ac:dyDescent="0.2">
      <c r="A56" s="8" t="str">
        <f>IF(AND(D56=J56,E56=K56,F56=L56,G56=M56,H56=N56),"","X")</f>
        <v/>
      </c>
      <c r="E56" s="11"/>
      <c r="F56" s="11"/>
      <c r="G56" s="11"/>
      <c r="H56" s="11"/>
      <c r="I56" s="11"/>
      <c r="K56" s="11"/>
      <c r="L56" s="11"/>
      <c r="M56" s="11"/>
      <c r="N56" s="11"/>
    </row>
    <row r="57" spans="1:14" x14ac:dyDescent="0.2">
      <c r="E57" s="11"/>
      <c r="F57" s="11"/>
      <c r="G57" s="11"/>
      <c r="H57" s="11"/>
      <c r="I57" s="11"/>
      <c r="K57" s="11"/>
      <c r="L57" s="11"/>
      <c r="M57" s="11"/>
      <c r="N57" s="11"/>
    </row>
    <row r="58" spans="1:14" x14ac:dyDescent="0.2">
      <c r="E58" s="11"/>
      <c r="F58" s="11"/>
      <c r="G58" s="11"/>
      <c r="H58" s="11"/>
      <c r="I58" s="11"/>
      <c r="K58" s="11"/>
      <c r="L58" s="11"/>
      <c r="M58" s="11"/>
      <c r="N58" s="11"/>
    </row>
    <row r="59" spans="1:14" x14ac:dyDescent="0.2">
      <c r="E59" s="11"/>
      <c r="F59" s="11"/>
      <c r="G59" s="11"/>
      <c r="H59" s="11"/>
      <c r="I59" s="11"/>
      <c r="K59" s="11"/>
      <c r="L59" s="11"/>
      <c r="M59" s="11"/>
      <c r="N59" s="11"/>
    </row>
    <row r="60" spans="1:14" x14ac:dyDescent="0.2">
      <c r="E60" s="11"/>
      <c r="F60" s="11"/>
      <c r="G60" s="11"/>
      <c r="H60" s="11"/>
      <c r="I60" s="11"/>
      <c r="K60" s="11"/>
      <c r="L60" s="11"/>
      <c r="M60" s="11"/>
      <c r="N60" s="11"/>
    </row>
    <row r="61" spans="1:14" x14ac:dyDescent="0.2">
      <c r="E61" s="11"/>
      <c r="F61" s="11"/>
      <c r="G61" s="11"/>
      <c r="H61" s="11"/>
      <c r="I61" s="11"/>
      <c r="K61" s="11"/>
      <c r="L61" s="11"/>
      <c r="M61" s="11"/>
      <c r="N61" s="11"/>
    </row>
    <row r="62" spans="1:14" x14ac:dyDescent="0.2">
      <c r="E62" s="11"/>
      <c r="F62" s="11"/>
      <c r="G62" s="11"/>
      <c r="H62" s="11"/>
      <c r="I62" s="11"/>
      <c r="K62" s="11"/>
      <c r="L62" s="11"/>
      <c r="M62" s="11"/>
      <c r="N62" s="11"/>
    </row>
    <row r="63" spans="1:14" x14ac:dyDescent="0.2">
      <c r="E63" s="11"/>
      <c r="F63" s="11"/>
      <c r="G63" s="11"/>
      <c r="H63" s="11"/>
      <c r="I63" s="11"/>
      <c r="K63" s="11"/>
      <c r="L63" s="11"/>
      <c r="M63" s="11"/>
      <c r="N63" s="11"/>
    </row>
    <row r="64" spans="1:14" x14ac:dyDescent="0.2">
      <c r="E64" s="11"/>
      <c r="F64" s="11"/>
      <c r="G64" s="11"/>
      <c r="H64" s="11"/>
      <c r="I64" s="11"/>
      <c r="K64" s="11"/>
      <c r="L64" s="11"/>
      <c r="M64" s="11"/>
      <c r="N64" s="11"/>
    </row>
  </sheetData>
  <mergeCells count="18">
    <mergeCell ref="J32:K32"/>
    <mergeCell ref="J31:K31"/>
    <mergeCell ref="C5:D5"/>
    <mergeCell ref="J34:K34"/>
    <mergeCell ref="J36:K36"/>
    <mergeCell ref="J35:K35"/>
    <mergeCell ref="J37:K37"/>
    <mergeCell ref="J43:K43"/>
    <mergeCell ref="B42:B46"/>
    <mergeCell ref="B40:B41"/>
    <mergeCell ref="J42:K42"/>
    <mergeCell ref="J44:K44"/>
    <mergeCell ref="J40:K40"/>
    <mergeCell ref="B47:B48"/>
    <mergeCell ref="B34:B39"/>
    <mergeCell ref="B49:B52"/>
    <mergeCell ref="B32:B33"/>
    <mergeCell ref="B30:B31"/>
  </mergeCells>
  <phoneticPr fontId="6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1">
              <controlPr defaultSize="0" print="0" autoFill="0" autoLine="0" autoPict="0" macro="[0]!OpenVBA" altText="Refresh PivotTables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2</xdr:col>
                    <xdr:colOff>2219325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13C06-FEDF-40DE-A9F5-1D97A56487CA}">
  <sheetPr codeName="Sheet11"/>
  <dimension ref="A2:N57"/>
  <sheetViews>
    <sheetView tabSelected="1" workbookViewId="0">
      <selection activeCell="D57" sqref="D57"/>
    </sheetView>
  </sheetViews>
  <sheetFormatPr defaultRowHeight="15" x14ac:dyDescent="0.2"/>
  <cols>
    <col min="1" max="1" width="6.5546875" style="6" customWidth="1"/>
    <col min="2" max="2" width="13.5546875" style="6" bestFit="1" customWidth="1"/>
    <col min="3" max="3" width="26" style="6" customWidth="1"/>
    <col min="4" max="4" width="15.33203125" style="11" customWidth="1"/>
    <col min="5" max="5" width="7.88671875" style="6" bestFit="1" customWidth="1"/>
    <col min="6" max="6" width="5.109375" style="6" bestFit="1" customWidth="1"/>
    <col min="7" max="7" width="7.6640625" style="6" bestFit="1" customWidth="1"/>
    <col min="8" max="8" width="2" style="6" bestFit="1" customWidth="1"/>
    <col min="9" max="9" width="14.21875" style="6" bestFit="1" customWidth="1"/>
    <col min="10" max="10" width="20.5546875" style="11" bestFit="1" customWidth="1"/>
    <col min="11" max="14" width="8.88671875" style="6"/>
  </cols>
  <sheetData>
    <row r="2" spans="1:12" ht="15.75" x14ac:dyDescent="0.2">
      <c r="D2" s="2" t="s">
        <v>0</v>
      </c>
      <c r="E2" s="11"/>
    </row>
    <row r="3" spans="1:12" x14ac:dyDescent="0.2">
      <c r="D3" s="4" t="s">
        <v>60</v>
      </c>
      <c r="E3" s="4" t="s">
        <v>61</v>
      </c>
      <c r="F3" s="4" t="s">
        <v>62</v>
      </c>
      <c r="G3" s="4" t="s">
        <v>71</v>
      </c>
    </row>
    <row r="4" spans="1:12" x14ac:dyDescent="0.2">
      <c r="D4" s="4" t="s">
        <v>63</v>
      </c>
      <c r="E4" s="4"/>
      <c r="F4" s="4" t="s">
        <v>64</v>
      </c>
      <c r="G4" s="4" t="s">
        <v>72</v>
      </c>
    </row>
    <row r="5" spans="1:12" x14ac:dyDescent="0.2">
      <c r="D5" s="4" t="s">
        <v>65</v>
      </c>
      <c r="E5" s="4" t="s">
        <v>66</v>
      </c>
      <c r="F5" s="4" t="s">
        <v>67</v>
      </c>
      <c r="G5" s="4" t="s">
        <v>73</v>
      </c>
    </row>
    <row r="6" spans="1:12" x14ac:dyDescent="0.2">
      <c r="D6" s="4" t="s">
        <v>68</v>
      </c>
      <c r="E6" s="4" t="s">
        <v>69</v>
      </c>
      <c r="F6" s="4" t="s">
        <v>70</v>
      </c>
      <c r="G6" s="4" t="s">
        <v>74</v>
      </c>
    </row>
    <row r="7" spans="1:12" x14ac:dyDescent="0.2">
      <c r="D7" s="4">
        <v>1</v>
      </c>
      <c r="E7" s="4">
        <v>2</v>
      </c>
      <c r="F7" s="4">
        <v>3</v>
      </c>
    </row>
    <row r="8" spans="1:12" x14ac:dyDescent="0.2">
      <c r="D8" s="4">
        <v>4</v>
      </c>
      <c r="E8" s="4" t="e">
        <f>1/0</f>
        <v>#DIV/0!</v>
      </c>
      <c r="F8" s="4">
        <v>6</v>
      </c>
    </row>
    <row r="9" spans="1:12" x14ac:dyDescent="0.2">
      <c r="D9" s="5"/>
      <c r="E9" s="4">
        <v>8</v>
      </c>
      <c r="F9" s="4"/>
    </row>
    <row r="11" spans="1:12" ht="15.75" x14ac:dyDescent="0.2">
      <c r="A11" s="7" t="s">
        <v>4</v>
      </c>
      <c r="B11" s="7" t="s">
        <v>29</v>
      </c>
      <c r="C11" s="2" t="s">
        <v>1</v>
      </c>
      <c r="D11" s="14" t="s">
        <v>12</v>
      </c>
      <c r="I11" s="7" t="s">
        <v>30</v>
      </c>
      <c r="J11" s="14" t="s">
        <v>18</v>
      </c>
    </row>
    <row r="12" spans="1:12" ht="15.75" x14ac:dyDescent="0.2">
      <c r="A12" s="8" t="str">
        <f t="shared" ref="A12:A18" si="0">IF(AND(D12=J12,E12=K12,F12=L12,G12=M12,H12=N12),"","X")</f>
        <v/>
      </c>
      <c r="B12" s="6" t="s">
        <v>81</v>
      </c>
      <c r="C12" s="3" t="str">
        <f ca="1">_xlfn.FORMULATEXT(D12)</f>
        <v>=ResizeArray(D3:F6;3)</v>
      </c>
      <c r="D12" s="11" t="str" cm="1">
        <f t="array" ref="D12:F12">ResizeArray(D3:F6,3)</f>
        <v>a3</v>
      </c>
      <c r="E12" s="6" t="str">
        <v>a4</v>
      </c>
      <c r="F12" s="6" t="str">
        <v>a5</v>
      </c>
      <c r="J12" s="11" t="s">
        <v>60</v>
      </c>
      <c r="K12" s="6" t="s">
        <v>63</v>
      </c>
      <c r="L12" s="6" t="s">
        <v>65</v>
      </c>
    </row>
    <row r="13" spans="1:12" ht="15.75" x14ac:dyDescent="0.2">
      <c r="A13" s="8" t="str">
        <f t="shared" si="0"/>
        <v/>
      </c>
      <c r="B13" s="6" t="s">
        <v>82</v>
      </c>
      <c r="C13" s="3" t="str">
        <f ca="1">_xlfn.FORMULATEXT(D13)</f>
        <v>=ResizeArray(D3:F6;3;1)</v>
      </c>
      <c r="D13" s="15" t="str" cm="1">
        <f t="array" ref="D13:D15">ResizeArray(D3:F6,3,1)</f>
        <v>a3</v>
      </c>
      <c r="J13" s="11" t="s">
        <v>60</v>
      </c>
    </row>
    <row r="14" spans="1:12" ht="15.75" x14ac:dyDescent="0.2">
      <c r="A14" s="8" t="str">
        <f t="shared" si="0"/>
        <v/>
      </c>
      <c r="C14" s="3"/>
      <c r="D14" s="11" t="str">
        <v>a4</v>
      </c>
      <c r="J14" s="11" t="s">
        <v>63</v>
      </c>
    </row>
    <row r="15" spans="1:12" x14ac:dyDescent="0.2">
      <c r="A15" s="6" t="str">
        <f t="shared" si="0"/>
        <v/>
      </c>
      <c r="C15" s="3"/>
      <c r="D15" s="11" t="str">
        <v>a5</v>
      </c>
      <c r="J15" s="11" t="s">
        <v>65</v>
      </c>
    </row>
    <row r="16" spans="1:12" x14ac:dyDescent="0.2">
      <c r="A16" s="6" t="str">
        <f t="shared" si="0"/>
        <v/>
      </c>
      <c r="B16" s="6" t="s">
        <v>83</v>
      </c>
      <c r="C16" s="3" t="str">
        <f ca="1">_xlfn.FORMULATEXT(D16)</f>
        <v>=ResizeArray(D3:D5;3;2)</v>
      </c>
      <c r="D16" s="11" t="str" cm="1">
        <f t="array" ref="D16:E18">ResizeArray(D3:D5,3,2)</f>
        <v>a3</v>
      </c>
      <c r="E16" s="6">
        <v>0</v>
      </c>
      <c r="J16" s="11" t="s">
        <v>60</v>
      </c>
      <c r="K16" s="6">
        <v>0</v>
      </c>
    </row>
    <row r="17" spans="1:14" x14ac:dyDescent="0.2">
      <c r="A17" s="6" t="str">
        <f t="shared" si="0"/>
        <v/>
      </c>
      <c r="D17" s="11" t="str">
        <v>a4</v>
      </c>
      <c r="E17" s="6">
        <v>0</v>
      </c>
      <c r="J17" s="11" t="s">
        <v>63</v>
      </c>
      <c r="K17" s="6">
        <v>0</v>
      </c>
    </row>
    <row r="18" spans="1:14" x14ac:dyDescent="0.2">
      <c r="A18" s="6" t="str">
        <f t="shared" si="0"/>
        <v/>
      </c>
      <c r="D18" s="11" t="str">
        <v>a5</v>
      </c>
      <c r="E18" s="6">
        <v>0</v>
      </c>
      <c r="J18" s="11" t="s">
        <v>65</v>
      </c>
      <c r="K18" s="6">
        <v>0</v>
      </c>
    </row>
    <row r="19" spans="1:14" ht="15.75" x14ac:dyDescent="0.2">
      <c r="A19" s="8" t="str">
        <f t="shared" ref="A19:A57" si="1">IF(AND(D19=J19,E19=K19,F19=L19,G19=M19,H19=N19),"","X")</f>
        <v/>
      </c>
      <c r="B19" s="9" t="s">
        <v>57</v>
      </c>
      <c r="C19" s="3" t="str">
        <f t="shared" ref="C19:C24" ca="1" si="2">_xlfn.FORMULATEXT(D19)</f>
        <v>=TOROW(D3)</v>
      </c>
      <c r="D19" s="12" t="str" cm="1">
        <f t="array" ref="D19">TOROW(D3)</f>
        <v>a3</v>
      </c>
      <c r="J19" s="13" t="s">
        <v>60</v>
      </c>
    </row>
    <row r="20" spans="1:14" ht="15.75" x14ac:dyDescent="0.2">
      <c r="A20" s="8" t="str">
        <f t="shared" si="1"/>
        <v/>
      </c>
      <c r="B20" s="6" t="s">
        <v>58</v>
      </c>
      <c r="C20" s="3" t="str">
        <f t="shared" ca="1" si="2"/>
        <v>=TOROW(D3:G3)</v>
      </c>
      <c r="D20" s="12" t="str" cm="1">
        <f t="array" ref="D20:G20">TOROW(D3:G3)</f>
        <v>a3</v>
      </c>
      <c r="E20" s="6" t="str">
        <v>b3</v>
      </c>
      <c r="F20" s="6" t="str">
        <v>c3</v>
      </c>
      <c r="G20" s="6" t="str">
        <v>d3</v>
      </c>
      <c r="J20" s="13" t="s">
        <v>60</v>
      </c>
      <c r="K20" s="1" t="s">
        <v>61</v>
      </c>
      <c r="L20" s="6" t="s">
        <v>62</v>
      </c>
      <c r="M20" s="4" t="s">
        <v>71</v>
      </c>
    </row>
    <row r="21" spans="1:14" ht="15.75" x14ac:dyDescent="0.2">
      <c r="A21" s="8" t="str">
        <f t="shared" si="1"/>
        <v/>
      </c>
      <c r="B21" s="6" t="s">
        <v>59</v>
      </c>
      <c r="C21" s="3" t="str">
        <f t="shared" ca="1" si="2"/>
        <v>=TOROW(D3:D6)</v>
      </c>
      <c r="D21" s="12" t="str" cm="1">
        <f t="array" ref="D21:G21">TOROW(D3:D6)</f>
        <v>a3</v>
      </c>
      <c r="E21" s="6" t="str">
        <v>a4</v>
      </c>
      <c r="F21" s="6" t="str">
        <v>a5</v>
      </c>
      <c r="G21" s="6" t="str">
        <v>a6</v>
      </c>
      <c r="J21" s="13" t="s">
        <v>60</v>
      </c>
      <c r="K21" s="6" t="s">
        <v>63</v>
      </c>
      <c r="L21" s="6" t="s">
        <v>65</v>
      </c>
      <c r="M21" s="6" t="s">
        <v>68</v>
      </c>
    </row>
    <row r="22" spans="1:14" ht="15.75" x14ac:dyDescent="0.2">
      <c r="A22" s="8" t="str">
        <f t="shared" si="1"/>
        <v/>
      </c>
      <c r="B22" s="6" t="s">
        <v>75</v>
      </c>
      <c r="C22" s="3" t="str">
        <f t="shared" ca="1" si="2"/>
        <v>=TOROW(D4:E5)</v>
      </c>
      <c r="D22" s="12" t="str" cm="1">
        <f t="array" ref="D22:G22">TOROW(D4:E5)</f>
        <v>a4</v>
      </c>
      <c r="E22" s="11">
        <v>0</v>
      </c>
      <c r="F22" s="11" t="str">
        <v>a5</v>
      </c>
      <c r="G22" s="11" t="str">
        <v>b5</v>
      </c>
      <c r="H22" s="11"/>
      <c r="I22" s="11"/>
      <c r="J22" s="11" t="s">
        <v>63</v>
      </c>
      <c r="K22" s="11">
        <v>0</v>
      </c>
      <c r="L22" s="11" t="s">
        <v>65</v>
      </c>
      <c r="M22" s="11" t="s">
        <v>66</v>
      </c>
      <c r="N22" s="11"/>
    </row>
    <row r="23" spans="1:14" ht="15.75" x14ac:dyDescent="0.2">
      <c r="A23" s="8" t="str">
        <f t="shared" si="1"/>
        <v/>
      </c>
      <c r="B23" s="6" t="s">
        <v>76</v>
      </c>
      <c r="C23" s="3" t="str">
        <f t="shared" ca="1" si="2"/>
        <v>=TOROW(D4:E5; 1)</v>
      </c>
      <c r="D23" s="12" t="str" cm="1">
        <f t="array" ref="D23:F23">TOROW(D4:E5, 1)</f>
        <v>a4</v>
      </c>
      <c r="E23" s="11" t="str">
        <v>a5</v>
      </c>
      <c r="F23" s="11" t="str">
        <v>b5</v>
      </c>
      <c r="G23" s="11"/>
      <c r="H23" s="11"/>
      <c r="I23" s="11"/>
      <c r="J23" s="11" t="s">
        <v>63</v>
      </c>
      <c r="K23" s="11" t="s">
        <v>65</v>
      </c>
      <c r="L23" s="11" t="s">
        <v>66</v>
      </c>
      <c r="M23" s="11"/>
      <c r="N23" s="11"/>
    </row>
    <row r="24" spans="1:14" ht="15.75" x14ac:dyDescent="0.2">
      <c r="A24" s="8" t="str">
        <f t="shared" si="1"/>
        <v/>
      </c>
      <c r="B24" s="6" t="s">
        <v>77</v>
      </c>
      <c r="C24" s="3" t="str">
        <f t="shared" ca="1" si="2"/>
        <v>=TOROW(E7:F9; 3; TRUE)</v>
      </c>
      <c r="D24" s="12" cm="1">
        <f t="array" ref="D24:G24">TOROW(E7:F9, 3, TRUE)</f>
        <v>2</v>
      </c>
      <c r="E24" s="11">
        <v>8</v>
      </c>
      <c r="F24" s="11">
        <v>3</v>
      </c>
      <c r="G24" s="11">
        <v>6</v>
      </c>
      <c r="H24" s="11"/>
      <c r="I24" s="11"/>
      <c r="J24" s="11">
        <v>2</v>
      </c>
      <c r="K24" s="11">
        <v>8</v>
      </c>
      <c r="L24" s="11">
        <v>3</v>
      </c>
      <c r="M24" s="11">
        <v>6</v>
      </c>
      <c r="N24" s="11"/>
    </row>
    <row r="25" spans="1:14" ht="15.75" x14ac:dyDescent="0.2">
      <c r="A25" s="8" t="str">
        <f t="shared" si="1"/>
        <v/>
      </c>
      <c r="E25" s="11"/>
      <c r="F25" s="11"/>
      <c r="G25" s="11"/>
      <c r="H25" s="11"/>
      <c r="I25" s="11"/>
      <c r="K25" s="11"/>
      <c r="L25" s="11"/>
      <c r="M25" s="11"/>
      <c r="N25" s="11"/>
    </row>
    <row r="26" spans="1:14" ht="15.75" x14ac:dyDescent="0.2">
      <c r="A26" s="8" t="str">
        <f t="shared" si="1"/>
        <v/>
      </c>
      <c r="B26" s="9" t="s">
        <v>57</v>
      </c>
      <c r="C26" s="3" t="str">
        <f ca="1">_xlfn.FORMULATEXT(D26)</f>
        <v>=TOCOL(D3)</v>
      </c>
      <c r="D26" s="12" t="str" cm="1">
        <f t="array" ref="D26">TOCOL(D3)</f>
        <v>a3</v>
      </c>
      <c r="E26" s="11"/>
      <c r="F26" s="11"/>
      <c r="G26" s="11"/>
      <c r="H26" s="11"/>
      <c r="I26" s="11"/>
      <c r="J26" s="11" t="s">
        <v>60</v>
      </c>
      <c r="K26" s="11"/>
      <c r="L26" s="11"/>
      <c r="M26" s="11"/>
      <c r="N26" s="11"/>
    </row>
    <row r="27" spans="1:14" ht="15.75" x14ac:dyDescent="0.2">
      <c r="A27" s="8" t="str">
        <f t="shared" si="1"/>
        <v/>
      </c>
      <c r="B27" s="6" t="s">
        <v>78</v>
      </c>
      <c r="C27" s="3" t="str">
        <f t="shared" ref="C27:C53" ca="1" si="3">_xlfn.FORMULATEXT(D27)</f>
        <v>=TOCOL(D3:D5)</v>
      </c>
      <c r="D27" s="12" t="str" cm="1">
        <f t="array" ref="D27:D29">TOCOL(D3:D5)</f>
        <v>a3</v>
      </c>
      <c r="E27" s="11"/>
      <c r="F27" s="11"/>
      <c r="G27" s="11"/>
      <c r="H27" s="11"/>
      <c r="I27" s="11"/>
      <c r="J27" s="11" t="s">
        <v>60</v>
      </c>
      <c r="K27" s="11"/>
      <c r="L27" s="11"/>
      <c r="M27" s="11"/>
      <c r="N27" s="11"/>
    </row>
    <row r="28" spans="1:14" ht="15.75" x14ac:dyDescent="0.2">
      <c r="A28" s="8" t="str">
        <f t="shared" si="1"/>
        <v/>
      </c>
      <c r="C28" s="3"/>
      <c r="D28" s="12" t="str">
        <v>a4</v>
      </c>
      <c r="E28" s="11"/>
      <c r="F28" s="11"/>
      <c r="G28" s="11"/>
      <c r="H28" s="11"/>
      <c r="I28" s="11"/>
      <c r="J28" s="11" t="s">
        <v>63</v>
      </c>
      <c r="K28" s="11"/>
      <c r="L28" s="11"/>
      <c r="M28" s="11"/>
      <c r="N28" s="11"/>
    </row>
    <row r="29" spans="1:14" ht="15.75" x14ac:dyDescent="0.2">
      <c r="A29" s="8" t="str">
        <f t="shared" si="1"/>
        <v/>
      </c>
      <c r="C29" s="3"/>
      <c r="D29" s="11" t="str">
        <v>a5</v>
      </c>
      <c r="E29" s="11"/>
      <c r="F29" s="11"/>
      <c r="G29" s="11"/>
      <c r="H29" s="11"/>
      <c r="I29" s="11"/>
      <c r="J29" s="11" t="s">
        <v>65</v>
      </c>
      <c r="K29" s="11"/>
      <c r="L29" s="11"/>
      <c r="M29" s="11"/>
      <c r="N29" s="11"/>
    </row>
    <row r="30" spans="1:14" ht="15.75" x14ac:dyDescent="0.2">
      <c r="A30" s="8" t="str">
        <f t="shared" si="1"/>
        <v/>
      </c>
      <c r="B30" s="6" t="s">
        <v>79</v>
      </c>
      <c r="C30" s="3" t="str">
        <f t="shared" ca="1" si="3"/>
        <v>=TOCOL(D3:F3)</v>
      </c>
      <c r="D30" s="11" t="str" cm="1">
        <f t="array" ref="D30:D32">TOCOL(D3:F3)</f>
        <v>a3</v>
      </c>
      <c r="E30" s="11"/>
      <c r="F30" s="11"/>
      <c r="G30" s="11"/>
      <c r="H30" s="11"/>
      <c r="I30" s="11"/>
      <c r="J30" s="11" t="s">
        <v>60</v>
      </c>
      <c r="K30" s="11"/>
      <c r="L30" s="11"/>
      <c r="M30" s="11"/>
      <c r="N30" s="11"/>
    </row>
    <row r="31" spans="1:14" ht="15.75" x14ac:dyDescent="0.2">
      <c r="A31" s="8" t="str">
        <f t="shared" si="1"/>
        <v/>
      </c>
      <c r="C31" s="3"/>
      <c r="D31" s="11" t="str">
        <v>b3</v>
      </c>
      <c r="E31" s="11"/>
      <c r="F31" s="11"/>
      <c r="G31" s="11"/>
      <c r="H31" s="11"/>
      <c r="I31" s="11"/>
      <c r="J31" s="11" t="s">
        <v>61</v>
      </c>
      <c r="K31" s="11"/>
      <c r="L31" s="11"/>
      <c r="M31" s="11"/>
      <c r="N31" s="11"/>
    </row>
    <row r="32" spans="1:14" ht="15.75" x14ac:dyDescent="0.2">
      <c r="A32" s="8" t="str">
        <f t="shared" si="1"/>
        <v/>
      </c>
      <c r="C32" s="3"/>
      <c r="D32" s="11" t="str">
        <v>c3</v>
      </c>
      <c r="E32" s="11"/>
      <c r="F32" s="11"/>
      <c r="G32" s="11"/>
      <c r="H32" s="11"/>
      <c r="I32" s="11"/>
      <c r="J32" s="11" t="s">
        <v>62</v>
      </c>
      <c r="K32" s="11"/>
      <c r="L32" s="11"/>
      <c r="M32" s="11"/>
      <c r="N32" s="11"/>
    </row>
    <row r="33" spans="1:14" ht="15.75" x14ac:dyDescent="0.2">
      <c r="A33" s="8" t="str">
        <f t="shared" si="1"/>
        <v/>
      </c>
      <c r="B33" s="6" t="s">
        <v>80</v>
      </c>
      <c r="C33" s="3" t="str">
        <f t="shared" ca="1" si="3"/>
        <v>=TOCOL(D4:E5)</v>
      </c>
      <c r="D33" s="11" t="str" cm="1">
        <f t="array" ref="D33:D36">TOCOL(D4:E5)</f>
        <v>a4</v>
      </c>
      <c r="E33" s="11"/>
      <c r="F33" s="11"/>
      <c r="G33" s="11"/>
      <c r="H33" s="11"/>
      <c r="I33" s="11"/>
      <c r="J33" s="11" t="s">
        <v>63</v>
      </c>
      <c r="K33" s="11"/>
      <c r="L33" s="11"/>
      <c r="M33" s="11"/>
      <c r="N33" s="11"/>
    </row>
    <row r="34" spans="1:14" ht="15.75" x14ac:dyDescent="0.2">
      <c r="A34" s="8" t="str">
        <f t="shared" si="1"/>
        <v/>
      </c>
      <c r="C34" s="3"/>
      <c r="D34" s="11">
        <v>0</v>
      </c>
      <c r="J34" s="11">
        <v>0</v>
      </c>
    </row>
    <row r="35" spans="1:14" ht="15.75" x14ac:dyDescent="0.2">
      <c r="A35" s="8" t="str">
        <f t="shared" si="1"/>
        <v/>
      </c>
      <c r="C35" s="3"/>
      <c r="D35" s="11" t="str">
        <v>a5</v>
      </c>
      <c r="J35" s="11" t="s">
        <v>65</v>
      </c>
    </row>
    <row r="36" spans="1:14" ht="15.75" x14ac:dyDescent="0.2">
      <c r="A36" s="8" t="str">
        <f t="shared" si="1"/>
        <v/>
      </c>
      <c r="C36" s="3"/>
      <c r="D36" s="11" t="str">
        <v>b5</v>
      </c>
      <c r="J36" s="11" t="s">
        <v>66</v>
      </c>
    </row>
    <row r="37" spans="1:14" ht="15.75" x14ac:dyDescent="0.2">
      <c r="A37" s="8" t="str">
        <f t="shared" si="1"/>
        <v/>
      </c>
      <c r="B37" s="6" t="s">
        <v>76</v>
      </c>
      <c r="C37" s="3" t="str">
        <f ca="1">_xlfn.FORMULATEXT(D37)</f>
        <v>=TOCOL(D4:E5; 1)</v>
      </c>
      <c r="D37" s="11" t="str" cm="1">
        <f t="array" ref="D37:D39">TOCOL(D4:E5, 1)</f>
        <v>a4</v>
      </c>
      <c r="J37" s="11" t="s">
        <v>63</v>
      </c>
    </row>
    <row r="38" spans="1:14" ht="15.75" x14ac:dyDescent="0.2">
      <c r="A38" s="8" t="str">
        <f t="shared" si="1"/>
        <v/>
      </c>
      <c r="C38" s="3"/>
      <c r="D38" s="11" t="str">
        <v>a5</v>
      </c>
      <c r="J38" s="11" t="s">
        <v>65</v>
      </c>
    </row>
    <row r="39" spans="1:14" ht="15.75" x14ac:dyDescent="0.2">
      <c r="A39" s="8" t="str">
        <f t="shared" si="1"/>
        <v/>
      </c>
      <c r="C39" s="3"/>
      <c r="D39" s="11" t="str">
        <v>b5</v>
      </c>
      <c r="J39" s="11" t="s">
        <v>66</v>
      </c>
    </row>
    <row r="40" spans="1:14" ht="15.75" x14ac:dyDescent="0.2">
      <c r="A40" s="8" t="str">
        <f t="shared" si="1"/>
        <v/>
      </c>
      <c r="B40" s="6" t="s">
        <v>77</v>
      </c>
      <c r="C40" s="3" t="str">
        <f t="shared" ca="1" si="3"/>
        <v>=TOCOL(E7:F9; 3; TRUE)</v>
      </c>
      <c r="D40" s="11" cm="1">
        <f t="array" ref="D40:D43">TOCOL(E7:F9, 3, TRUE)</f>
        <v>2</v>
      </c>
      <c r="J40" s="11">
        <v>2</v>
      </c>
    </row>
    <row r="41" spans="1:14" ht="15.75" x14ac:dyDescent="0.2">
      <c r="A41" s="8" t="str">
        <f t="shared" si="1"/>
        <v/>
      </c>
      <c r="C41" s="3"/>
      <c r="D41" s="11">
        <v>8</v>
      </c>
      <c r="J41" s="11">
        <v>8</v>
      </c>
    </row>
    <row r="42" spans="1:14" ht="15.75" x14ac:dyDescent="0.2">
      <c r="A42" s="8" t="str">
        <f t="shared" si="1"/>
        <v/>
      </c>
      <c r="C42" s="3"/>
      <c r="D42" s="11">
        <v>3</v>
      </c>
      <c r="J42" s="11">
        <v>3</v>
      </c>
    </row>
    <row r="43" spans="1:14" ht="15.75" x14ac:dyDescent="0.2">
      <c r="A43" s="8" t="str">
        <f t="shared" si="1"/>
        <v/>
      </c>
      <c r="C43" s="3"/>
      <c r="D43" s="11">
        <v>6</v>
      </c>
      <c r="J43" s="11">
        <v>6</v>
      </c>
    </row>
    <row r="44" spans="1:14" ht="15.75" x14ac:dyDescent="0.2">
      <c r="A44" s="8" t="str">
        <f t="shared" si="1"/>
        <v/>
      </c>
      <c r="B44" s="19" t="s">
        <v>85</v>
      </c>
      <c r="C44" s="3" t="str">
        <f t="shared" ca="1" si="3"/>
        <v>=VSTACK(D3:F3;D5:E6)</v>
      </c>
      <c r="D44" s="11" t="str" cm="1">
        <f t="array" ref="D44:F46">VSTACK(D3:F3,D5:E6)</f>
        <v>a3</v>
      </c>
      <c r="E44" s="6" t="str">
        <v>b3</v>
      </c>
      <c r="F44" s="6" t="str">
        <v>c3</v>
      </c>
      <c r="J44" s="16" t="s">
        <v>60</v>
      </c>
      <c r="K44" s="6" t="s">
        <v>61</v>
      </c>
      <c r="L44" s="6" t="s">
        <v>62</v>
      </c>
    </row>
    <row r="45" spans="1:14" ht="15.75" x14ac:dyDescent="0.2">
      <c r="A45" s="8" t="str">
        <f t="shared" si="1"/>
        <v/>
      </c>
      <c r="B45" s="19"/>
      <c r="C45" s="3"/>
      <c r="D45" s="11" t="str">
        <v>a5</v>
      </c>
      <c r="E45" s="6" t="str">
        <v>b5</v>
      </c>
      <c r="F45" s="6">
        <v>0</v>
      </c>
      <c r="J45" s="16" t="s">
        <v>65</v>
      </c>
      <c r="K45" s="16" t="s">
        <v>66</v>
      </c>
      <c r="L45" s="6">
        <v>0</v>
      </c>
    </row>
    <row r="46" spans="1:14" ht="15.75" x14ac:dyDescent="0.2">
      <c r="A46" s="8" t="str">
        <f t="shared" si="1"/>
        <v/>
      </c>
      <c r="C46" s="3"/>
      <c r="D46" s="11" t="str">
        <v>a6</v>
      </c>
      <c r="E46" s="6" t="str">
        <v>b6</v>
      </c>
      <c r="F46" s="6">
        <v>0</v>
      </c>
      <c r="J46" s="11" t="s">
        <v>68</v>
      </c>
      <c r="K46" s="6" t="s">
        <v>69</v>
      </c>
      <c r="L46" s="6">
        <v>0</v>
      </c>
    </row>
    <row r="47" spans="1:14" ht="30" x14ac:dyDescent="0.2">
      <c r="A47" s="8" t="str">
        <f t="shared" si="1"/>
        <v/>
      </c>
      <c r="B47" s="6" t="s">
        <v>84</v>
      </c>
      <c r="C47" s="3" t="str">
        <f t="shared" ca="1" si="3"/>
        <v>=VSTACK(D3:E3;D5:D6;TRUE)</v>
      </c>
      <c r="D47" s="11" t="str" cm="1">
        <f t="array" ref="D47:D50">VSTACK(D3:E3,D5:D6,TRUE)</f>
        <v>a3</v>
      </c>
      <c r="J47" s="11" t="s">
        <v>60</v>
      </c>
    </row>
    <row r="48" spans="1:14" ht="15.75" x14ac:dyDescent="0.2">
      <c r="A48" s="8" t="str">
        <f t="shared" si="1"/>
        <v/>
      </c>
      <c r="C48" s="3"/>
      <c r="D48" s="11" t="str">
        <v>b3</v>
      </c>
      <c r="J48" s="11" t="s">
        <v>61</v>
      </c>
    </row>
    <row r="49" spans="1:13" ht="15.75" x14ac:dyDescent="0.2">
      <c r="A49" s="8" t="str">
        <f t="shared" si="1"/>
        <v/>
      </c>
      <c r="C49" s="3"/>
      <c r="D49" s="11" t="str">
        <v>a5</v>
      </c>
      <c r="J49" s="11" t="s">
        <v>65</v>
      </c>
    </row>
    <row r="50" spans="1:13" ht="15.75" x14ac:dyDescent="0.2">
      <c r="A50" s="8" t="str">
        <f t="shared" si="1"/>
        <v/>
      </c>
      <c r="C50" s="3"/>
      <c r="D50" s="11" t="str">
        <v>a6</v>
      </c>
      <c r="J50" s="11" t="s">
        <v>68</v>
      </c>
    </row>
    <row r="51" spans="1:13" ht="15.75" x14ac:dyDescent="0.2">
      <c r="A51" s="8" t="str">
        <f t="shared" si="1"/>
        <v/>
      </c>
      <c r="B51" s="19" t="s">
        <v>86</v>
      </c>
      <c r="C51" s="3" t="str">
        <f t="shared" ca="1" si="3"/>
        <v>=HSTACK(D3:E3;D5:E6)</v>
      </c>
      <c r="D51" s="11" t="str" cm="1">
        <f t="array" ref="D51:G52">HSTACK(D3:E3,D5:E6)</f>
        <v>a3</v>
      </c>
      <c r="E51" s="6" t="str">
        <v>b3</v>
      </c>
      <c r="F51" s="6" t="str">
        <v>a5</v>
      </c>
      <c r="G51" s="6" t="str">
        <v>b5</v>
      </c>
      <c r="J51" s="17" t="s">
        <v>60</v>
      </c>
      <c r="K51" s="6" t="s">
        <v>61</v>
      </c>
      <c r="L51" s="17" t="s">
        <v>65</v>
      </c>
      <c r="M51" s="17" t="s">
        <v>66</v>
      </c>
    </row>
    <row r="52" spans="1:13" ht="15.75" x14ac:dyDescent="0.2">
      <c r="A52" s="8" t="str">
        <f t="shared" si="1"/>
        <v/>
      </c>
      <c r="B52" s="19"/>
      <c r="C52" s="3"/>
      <c r="D52" s="11">
        <v>0</v>
      </c>
      <c r="E52" s="6">
        <v>0</v>
      </c>
      <c r="F52" s="6" t="str">
        <v>a6</v>
      </c>
      <c r="G52" s="6" t="str">
        <v>b6</v>
      </c>
      <c r="J52" s="11">
        <v>0</v>
      </c>
      <c r="K52" s="6">
        <v>0</v>
      </c>
      <c r="L52" s="17" t="s">
        <v>68</v>
      </c>
      <c r="M52" s="6" t="s">
        <v>69</v>
      </c>
    </row>
    <row r="53" spans="1:13" ht="30" x14ac:dyDescent="0.2">
      <c r="A53" s="8" t="str">
        <f t="shared" si="1"/>
        <v/>
      </c>
      <c r="B53" s="6" t="s">
        <v>87</v>
      </c>
      <c r="C53" s="3" t="str">
        <f t="shared" ca="1" si="3"/>
        <v>=HSTACK(D3:E3;D5:D6;TRUE)</v>
      </c>
      <c r="D53" s="11" t="str" cm="1">
        <f t="array" ref="D53:G53">HSTACK(D3:E3,D5:D6,TRUE)</f>
        <v>a3</v>
      </c>
      <c r="E53" s="6" t="str">
        <v>b3</v>
      </c>
      <c r="F53" s="6" t="str">
        <v>a5</v>
      </c>
      <c r="G53" s="6" t="str">
        <v>a6</v>
      </c>
      <c r="J53" s="18" t="s">
        <v>60</v>
      </c>
      <c r="K53" s="6" t="s">
        <v>61</v>
      </c>
      <c r="L53" s="18" t="s">
        <v>65</v>
      </c>
      <c r="M53" s="6" t="s">
        <v>68</v>
      </c>
    </row>
    <row r="54" spans="1:13" ht="15.75" x14ac:dyDescent="0.2">
      <c r="A54" s="8" t="str">
        <f t="shared" si="1"/>
        <v/>
      </c>
    </row>
    <row r="55" spans="1:13" ht="15.75" x14ac:dyDescent="0.2">
      <c r="A55" s="8" t="str">
        <f t="shared" si="1"/>
        <v/>
      </c>
    </row>
    <row r="56" spans="1:13" ht="15.75" x14ac:dyDescent="0.2">
      <c r="A56" s="8" t="str">
        <f t="shared" si="1"/>
        <v/>
      </c>
    </row>
    <row r="57" spans="1:13" ht="15.75" x14ac:dyDescent="0.2">
      <c r="A57" s="8" t="str">
        <f t="shared" si="1"/>
        <v/>
      </c>
    </row>
  </sheetData>
  <mergeCells count="2">
    <mergeCell ref="B44:B45"/>
    <mergeCell ref="B51:B52"/>
  </mergeCells>
  <phoneticPr fontId="6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Line="0" autoPict="0" macro="[0]!OpenVBA" altText="Refresh PivotTables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2</xdr:col>
                    <xdr:colOff>2219325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242811-EBD0-489C-881E-95A0DE1D9D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TEXTSPLIT,TEXTBEFORE,TEXTAFTER</vt:lpstr>
      <vt:lpstr>TOCOL,TOROW,VSTACK,HSTACK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Vortexico</dc:creator>
  <cp:lastModifiedBy>Hans Willemen</cp:lastModifiedBy>
  <cp:lastPrinted>2023-10-12T18:27:56Z</cp:lastPrinted>
  <dcterms:created xsi:type="dcterms:W3CDTF">2022-10-01T17:52:38Z</dcterms:created>
  <dcterms:modified xsi:type="dcterms:W3CDTF">2024-05-08T12:57:14Z</dcterms:modified>
</cp:coreProperties>
</file>